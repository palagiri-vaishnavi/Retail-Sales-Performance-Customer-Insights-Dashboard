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8_{F3E5BF3D-E7DF-48C8-8A29-4F45D75997D3}" xr6:coauthVersionLast="47" xr6:coauthVersionMax="47" xr10:uidLastSave="{00000000-0000-0000-0000-000000000000}"/>
  <bookViews>
    <workbookView xWindow="-108" yWindow="-108" windowWidth="16608" windowHeight="9432" tabRatio="500" xr2:uid="{00000000-000D-0000-FFFF-FFFF00000000}"/>
  </bookViews>
  <sheets>
    <sheet name="📊 Raw Data" sheetId="1" r:id="rId1"/>
    <sheet name="📋 Pivot – Sales Summary" sheetId="2" r:id="rId2"/>
    <sheet name="🔢 SUMIF &amp; COUNTIF" sheetId="3" r:id="rId3"/>
  </sheets>
  <definedNames>
    <definedName name="_xlnm._FilterDatabase" localSheetId="0" hidden="1">'📊 Raw Data'!$A$2:$I$202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3" l="1"/>
  <c r="D23" i="3" s="1"/>
  <c r="B23" i="3"/>
  <c r="C22" i="3"/>
  <c r="D22" i="3" s="1"/>
  <c r="B22" i="3"/>
  <c r="C21" i="3"/>
  <c r="D21" i="3" s="1"/>
  <c r="B21" i="3"/>
  <c r="C15" i="3"/>
  <c r="B15" i="3"/>
  <c r="D15" i="3" s="1"/>
  <c r="D14" i="3"/>
  <c r="C14" i="3"/>
  <c r="B14" i="3"/>
  <c r="D13" i="3"/>
  <c r="C13" i="3"/>
  <c r="B13" i="3"/>
  <c r="C9" i="3"/>
  <c r="B9" i="3"/>
  <c r="D9" i="3" s="1"/>
  <c r="C8" i="3"/>
  <c r="B8" i="3"/>
  <c r="D8" i="3" s="1"/>
  <c r="C7" i="3"/>
  <c r="B7" i="3"/>
  <c r="D7" i="3" s="1"/>
  <c r="C6" i="3"/>
  <c r="B6" i="3"/>
  <c r="D6" i="3" s="1"/>
  <c r="D9" i="2"/>
  <c r="C9" i="2"/>
  <c r="B9" i="2"/>
  <c r="E9" i="2" s="1"/>
  <c r="E8" i="2"/>
  <c r="E7" i="2"/>
  <c r="E6" i="2"/>
  <c r="E5" i="2"/>
</calcChain>
</file>

<file path=xl/sharedStrings.xml><?xml version="1.0" encoding="utf-8"?>
<sst xmlns="http://schemas.openxmlformats.org/spreadsheetml/2006/main" count="1048" uniqueCount="244">
  <si>
    <t>🏪  Superstore Sales Dataset</t>
  </si>
  <si>
    <t>Row ID</t>
  </si>
  <si>
    <t>Order ID</t>
  </si>
  <si>
    <t>Region</t>
  </si>
  <si>
    <t>Segment</t>
  </si>
  <si>
    <t>Category</t>
  </si>
  <si>
    <t>Sub-Category</t>
  </si>
  <si>
    <t>Sales</t>
  </si>
  <si>
    <t>Profit</t>
  </si>
  <si>
    <t>Quantity</t>
  </si>
  <si>
    <t>ORD-1001</t>
  </si>
  <si>
    <t>East</t>
  </si>
  <si>
    <t>Home Office</t>
  </si>
  <si>
    <t>Technology</t>
  </si>
  <si>
    <t>Accessories</t>
  </si>
  <si>
    <t>ORD-1002</t>
  </si>
  <si>
    <t>Corporate</t>
  </si>
  <si>
    <t>Office Supplies</t>
  </si>
  <si>
    <t>Paper</t>
  </si>
  <si>
    <t>ORD-1003</t>
  </si>
  <si>
    <t>Consumer</t>
  </si>
  <si>
    <t>Art</t>
  </si>
  <si>
    <t>ORD-1004</t>
  </si>
  <si>
    <t>West</t>
  </si>
  <si>
    <t>Storage</t>
  </si>
  <si>
    <t>ORD-1005</t>
  </si>
  <si>
    <t>Phones</t>
  </si>
  <si>
    <t>ORD-1006</t>
  </si>
  <si>
    <t>ORD-1007</t>
  </si>
  <si>
    <t>Central</t>
  </si>
  <si>
    <t>ORD-1008</t>
  </si>
  <si>
    <t>Furniture</t>
  </si>
  <si>
    <t>Tables</t>
  </si>
  <si>
    <t>ORD-1009</t>
  </si>
  <si>
    <t>ORD-1010</t>
  </si>
  <si>
    <t>Binders</t>
  </si>
  <si>
    <t>ORD-1011</t>
  </si>
  <si>
    <t>ORD-1012</t>
  </si>
  <si>
    <t>South</t>
  </si>
  <si>
    <t>ORD-1013</t>
  </si>
  <si>
    <t>ORD-1014</t>
  </si>
  <si>
    <t>ORD-1015</t>
  </si>
  <si>
    <t>ORD-1016</t>
  </si>
  <si>
    <t>Computers</t>
  </si>
  <si>
    <t>ORD-1017</t>
  </si>
  <si>
    <t>Furnishings</t>
  </si>
  <si>
    <t>ORD-1018</t>
  </si>
  <si>
    <t>ORD-1019</t>
  </si>
  <si>
    <t>ORD-1020</t>
  </si>
  <si>
    <t>ORD-1021</t>
  </si>
  <si>
    <t>Chairs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</si>
  <si>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</si>
  <si>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</si>
  <si>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</si>
  <si>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</si>
  <si>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</si>
  <si>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</si>
  <si>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</si>
  <si>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</si>
  <si>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</si>
  <si>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Copiers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</si>
  <si>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</si>
  <si>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</si>
  <si>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</si>
  <si>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</si>
  <si>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</si>
  <si>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</si>
  <si>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</si>
  <si>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</si>
  <si>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</si>
  <si>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</si>
  <si>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</si>
  <si>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</si>
  <si>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</si>
  <si>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</si>
  <si>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</si>
  <si>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</si>
  <si>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</si>
  <si>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</si>
  <si>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Bookcases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</si>
  <si>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</si>
  <si>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</si>
  <si>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</si>
  <si>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</si>
  <si>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</si>
  <si>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</si>
  <si>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</si>
  <si>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</si>
  <si>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</si>
  <si>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</si>
  <si>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</si>
  <si>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</si>
  <si>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</si>
  <si>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</si>
  <si>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</si>
  <si>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</si>
  <si>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</si>
  <si>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</si>
  <si>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</si>
  <si>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</si>
  <si>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</si>
  <si>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</si>
  <si>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</si>
  <si>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</si>
  <si>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</si>
  <si>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</si>
  <si>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</si>
  <si>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</si>
  <si>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</si>
  <si>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</si>
  <si>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</si>
  <si>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</si>
  <si>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</si>
  <si>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</si>
  <si>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</si>
  <si>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</si>
  <si>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</si>
  <si>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</si>
  <si>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</si>
  <si>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</si>
  <si>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</si>
  <si>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</si>
  <si>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</si>
  <si>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</si>
  <si>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</si>
  <si>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</si>
  <si>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</si>
  <si>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</si>
  <si>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</si>
  <si>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</si>
  <si>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</si>
  <si>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</si>
  <si>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</si>
  <si>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</si>
  <si>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</si>
  <si>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</si>
  <si>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</si>
  <si>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</si>
  <si>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</si>
  <si>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</si>
  <si>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</si>
  <si>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</si>
  <si>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</si>
  <si>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</si>
  <si>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</si>
  <si>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</si>
  <si>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</si>
  <si>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</si>
  <si>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</si>
  <si>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</si>
  <si>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</si>
  <si>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</si>
  <si>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</si>
  <si>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</si>
  <si>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</si>
  <si>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</si>
  <si>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</si>
  <si>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</si>
  <si>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</si>
  <si>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</si>
  <si>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</si>
  <si>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</si>
  <si>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</si>
  <si>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</si>
  <si>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</si>
  <si>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</si>
  <si>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</si>
  <si>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</si>
  <si>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</si>
  <si>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</si>
  <si>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</si>
  <si>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</si>
  <si>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</si>
  <si>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</si>
  <si>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</si>
  <si>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</si>
  <si>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</si>
  <si>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</si>
  <si>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</si>
  <si>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</si>
  <si>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</si>
  <si>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</si>
  <si>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</si>
  <si>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</si>
  <si>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</si>
  <si>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</si>
  <si>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</si>
  <si>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</si>
  <si>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</si>
  <si>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</si>
  <si>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</si>
  <si>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</si>
  <si>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</si>
  <si>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</si>
  <si>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</si>
  <si>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</si>
  <si>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</si>
  <si>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</si>
  <si>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</si>
  <si>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</si>
  <si>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</si>
  <si>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</si>
  <si>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</si>
  <si>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</si>
  <si>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</si>
  <si>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</si>
  <si>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</si>
  <si>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</si>
  <si>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</si>
  <si>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</si>
  <si>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</si>
  <si>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</si>
  <si>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</si>
  <si>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</si>
  <si>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</si>
  <si>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</si>
  <si>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</si>
  <si>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</si>
  <si>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</si>
  <si>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</si>
  <si>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</si>
  <si>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</si>
  <si>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</si>
  <si>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</si>
  <si>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</si>
  <si>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</si>
  <si>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</si>
  <si>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</si>
  <si>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</si>
  <si>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</si>
  <si>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</si>
  <si>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</si>
  <si>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📋  Sales Summary by Region &amp; Category</t>
  </si>
  <si>
    <t>ℹ️  This pivot table summarises total sales per Region × Category using SUMIF formulas referencing the Raw Data sheet.</t>
  </si>
  <si>
    <t>Grand Total</t>
  </si>
  <si>
    <t>🔢  SUMIF &amp; COUNTIF Calculations</t>
  </si>
  <si>
    <t>SECTION A : Total Sales by Region  (SUMIF)</t>
  </si>
  <si>
    <t>Total Sales (SUMIF)</t>
  </si>
  <si>
    <t># Orders (COUNTIF)</t>
  </si>
  <si>
    <t>Avg Sale</t>
  </si>
  <si>
    <t>SECTION B : Total Sales by Category  (SUMIF)</t>
  </si>
  <si>
    <t>% of Total Sales</t>
  </si>
  <si>
    <t>SECTION C : Total Sales by Segment  (SUMIF)</t>
  </si>
  <si>
    <t>Avg Profit (SUMIF)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</si>
</sst>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EEAF1"/>
      </patternFill>
    </fill>
    <fill>
      <patternFill patternType="solid">
        <fgColor rgb="FFD6E4F0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6" fillId="4" borderId="1" xfId="0" applyFont="1" applyFill="1" applyBorder="1"/>
    <xf numFmtId="164" fontId="3" fillId="5" borderId="1" xfId="0" applyNumberFormat="1" applyFont="1" applyFill="1" applyBorder="1"/>
    <xf numFmtId="164" fontId="7" fillId="0" borderId="1" xfId="0" applyNumberFormat="1" applyFont="1" applyBorder="1"/>
    <xf numFmtId="0" fontId="2" fillId="6" borderId="2" xfId="0" applyFont="1" applyFill="1" applyBorder="1"/>
    <xf numFmtId="164" fontId="2" fillId="6" borderId="2" xfId="0" applyNumberFormat="1" applyFont="1" applyFill="1" applyBorder="1"/>
    <xf numFmtId="0" fontId="2" fillId="6" borderId="0" xfId="0" applyFont="1" applyFill="1" applyAlignment="1">
      <alignment horizontal="center" vertical="center"/>
    </xf>
    <xf numFmtId="0" fontId="6" fillId="7" borderId="1" xfId="0" applyFont="1" applyFill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DCE6F1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tabSelected="1" zoomScaleNormal="100" workbookViewId="0">
      <pane ySplit="2" topLeftCell="A196" activePane="bottomLeft" state="frozen"/>
      <selection pane="bottomLeft" sqref="A1:I1"/>
    </sheetView>
  </sheetViews>
  <sheetFormatPr defaultColWidth="8.6640625" defaultRowHeight="14.4" x14ac:dyDescent="0.3"/>
  <cols>
    <col min="1" max="1" width="8" customWidth="1"/>
    <col min="2" max="3" width="12" customWidth="1"/>
    <col min="4" max="4" width="14" customWidth="1"/>
    <col min="5" max="6" width="18" customWidth="1"/>
    <col min="7" max="8" width="12" customWidth="1"/>
    <col min="9" max="9" width="10" customWidth="1"/>
  </cols>
  <sheetData>
    <row r="1" spans="1:9" ht="18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5" customHeight="1" x14ac:dyDescent="0.3">
      <c r="A3" s="6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7">
        <v>1262.21</v>
      </c>
      <c r="H3" s="7">
        <v>-46.96</v>
      </c>
      <c r="I3" s="6">
        <v>4</v>
      </c>
    </row>
    <row r="4" spans="1:9" ht="15" customHeight="1" x14ac:dyDescent="0.3">
      <c r="A4" s="8">
        <v>2</v>
      </c>
      <c r="B4" s="8" t="s">
        <v>15</v>
      </c>
      <c r="C4" s="8" t="s">
        <v>11</v>
      </c>
      <c r="D4" s="8" t="s">
        <v>16</v>
      </c>
      <c r="E4" s="8" t="s">
        <v>17</v>
      </c>
      <c r="F4" s="8" t="s">
        <v>18</v>
      </c>
      <c r="G4" s="9">
        <v>197.5</v>
      </c>
      <c r="H4" s="9">
        <v>-0.32</v>
      </c>
      <c r="I4" s="8">
        <v>17</v>
      </c>
    </row>
    <row r="5" spans="1:9" ht="15" customHeight="1" x14ac:dyDescent="0.3">
      <c r="A5" s="6">
        <v>3</v>
      </c>
      <c r="B5" s="6" t="s">
        <v>19</v>
      </c>
      <c r="C5" s="6" t="s">
        <v>11</v>
      </c>
      <c r="D5" s="6" t="s">
        <v>20</v>
      </c>
      <c r="E5" s="6" t="s">
        <v>17</v>
      </c>
      <c r="F5" s="6" t="s">
        <v>21</v>
      </c>
      <c r="G5" s="7">
        <v>1141.18</v>
      </c>
      <c r="H5" s="7">
        <v>188.49</v>
      </c>
      <c r="I5" s="6">
        <v>1</v>
      </c>
    </row>
    <row r="6" spans="1:9" ht="15" customHeight="1" x14ac:dyDescent="0.3">
      <c r="A6" s="8">
        <v>4</v>
      </c>
      <c r="B6" s="8" t="s">
        <v>22</v>
      </c>
      <c r="C6" s="8" t="s">
        <v>23</v>
      </c>
      <c r="D6" s="8" t="s">
        <v>16</v>
      </c>
      <c r="E6" s="8" t="s">
        <v>17</v>
      </c>
      <c r="F6" s="8" t="s">
        <v>24</v>
      </c>
      <c r="G6" s="9">
        <v>1425.46</v>
      </c>
      <c r="H6" s="9">
        <v>-4.43</v>
      </c>
      <c r="I6" s="8">
        <v>11</v>
      </c>
    </row>
    <row r="7" spans="1:9" ht="15" customHeight="1" x14ac:dyDescent="0.3">
      <c r="A7" s="6">
        <v>5</v>
      </c>
      <c r="B7" s="6" t="s">
        <v>25</v>
      </c>
      <c r="C7" s="6" t="s">
        <v>11</v>
      </c>
      <c r="D7" s="6" t="s">
        <v>16</v>
      </c>
      <c r="E7" s="6" t="s">
        <v>13</v>
      </c>
      <c r="F7" s="6" t="s">
        <v>26</v>
      </c>
      <c r="G7" s="7">
        <v>1826.95</v>
      </c>
      <c r="H7" s="7">
        <v>100.08</v>
      </c>
      <c r="I7" s="6">
        <v>9</v>
      </c>
    </row>
    <row r="8" spans="1:9" ht="15" customHeight="1" x14ac:dyDescent="0.3">
      <c r="A8" s="8">
        <v>6</v>
      </c>
      <c r="B8" s="8" t="s">
        <v>27</v>
      </c>
      <c r="C8" s="8" t="s">
        <v>11</v>
      </c>
      <c r="D8" s="8" t="s">
        <v>16</v>
      </c>
      <c r="E8" s="8" t="s">
        <v>17</v>
      </c>
      <c r="F8" s="8" t="s">
        <v>18</v>
      </c>
      <c r="G8" s="9">
        <v>4866.92</v>
      </c>
      <c r="H8" s="9">
        <v>342.34</v>
      </c>
      <c r="I8" s="8">
        <v>18</v>
      </c>
    </row>
    <row r="9" spans="1:9" ht="15" customHeight="1" x14ac:dyDescent="0.3">
      <c r="A9" s="6">
        <v>7</v>
      </c>
      <c r="B9" s="6" t="s">
        <v>28</v>
      </c>
      <c r="C9" s="6" t="s">
        <v>29</v>
      </c>
      <c r="D9" s="6" t="s">
        <v>12</v>
      </c>
      <c r="E9" s="6" t="s">
        <v>17</v>
      </c>
      <c r="F9" s="6" t="s">
        <v>24</v>
      </c>
      <c r="G9" s="7">
        <v>2907.89</v>
      </c>
      <c r="H9" s="7">
        <v>631.17999999999995</v>
      </c>
      <c r="I9" s="6">
        <v>2</v>
      </c>
    </row>
    <row r="10" spans="1:9" ht="15" customHeight="1" x14ac:dyDescent="0.3">
      <c r="A10" s="8">
        <v>8</v>
      </c>
      <c r="B10" s="8" t="s">
        <v>30</v>
      </c>
      <c r="C10" s="8" t="s">
        <v>23</v>
      </c>
      <c r="D10" s="8" t="s">
        <v>20</v>
      </c>
      <c r="E10" s="8" t="s">
        <v>31</v>
      </c>
      <c r="F10" s="8" t="s">
        <v>32</v>
      </c>
      <c r="G10" s="9">
        <v>4339.09</v>
      </c>
      <c r="H10" s="9">
        <v>308.32</v>
      </c>
      <c r="I10" s="8">
        <v>15</v>
      </c>
    </row>
    <row r="11" spans="1:9" ht="15" customHeight="1" x14ac:dyDescent="0.3">
      <c r="A11" s="6">
        <v>9</v>
      </c>
      <c r="B11" s="6" t="s">
        <v>33</v>
      </c>
      <c r="C11" s="6" t="s">
        <v>29</v>
      </c>
      <c r="D11" s="6" t="s">
        <v>16</v>
      </c>
      <c r="E11" s="6" t="s">
        <v>13</v>
      </c>
      <c r="F11" s="6" t="s">
        <v>14</v>
      </c>
      <c r="G11" s="7">
        <v>1087.06</v>
      </c>
      <c r="H11" s="7">
        <v>21.89</v>
      </c>
      <c r="I11" s="6">
        <v>3</v>
      </c>
    </row>
    <row r="12" spans="1:9" ht="15" customHeight="1" x14ac:dyDescent="0.3">
      <c r="A12" s="8">
        <v>10</v>
      </c>
      <c r="B12" s="8" t="s">
        <v>34</v>
      </c>
      <c r="C12" s="8" t="s">
        <v>23</v>
      </c>
      <c r="D12" s="8" t="s">
        <v>12</v>
      </c>
      <c r="E12" s="8" t="s">
        <v>17</v>
      </c>
      <c r="F12" s="8" t="s">
        <v>35</v>
      </c>
      <c r="G12" s="9">
        <v>858.84</v>
      </c>
      <c r="H12" s="9">
        <v>60.77</v>
      </c>
      <c r="I12" s="8">
        <v>18</v>
      </c>
    </row>
    <row r="13" spans="1:9" ht="15" customHeight="1" x14ac:dyDescent="0.3">
      <c r="A13" s="6">
        <v>11</v>
      </c>
      <c r="B13" s="6" t="s">
        <v>36</v>
      </c>
      <c r="C13" s="6" t="s">
        <v>23</v>
      </c>
      <c r="D13" s="6" t="s">
        <v>16</v>
      </c>
      <c r="E13" s="6" t="s">
        <v>17</v>
      </c>
      <c r="F13" s="6" t="s">
        <v>18</v>
      </c>
      <c r="G13" s="7">
        <v>1183.79</v>
      </c>
      <c r="H13" s="7">
        <v>-101.28</v>
      </c>
      <c r="I13" s="6">
        <v>11</v>
      </c>
    </row>
    <row r="14" spans="1:9" ht="15" customHeight="1" x14ac:dyDescent="0.3">
      <c r="A14" s="8">
        <v>12</v>
      </c>
      <c r="B14" s="8" t="s">
        <v>37</v>
      </c>
      <c r="C14" s="8" t="s">
        <v>38</v>
      </c>
      <c r="D14" s="8" t="s">
        <v>20</v>
      </c>
      <c r="E14" s="8" t="s">
        <v>31</v>
      </c>
      <c r="F14" s="8" t="s">
        <v>32</v>
      </c>
      <c r="G14" s="9">
        <v>4570.0200000000004</v>
      </c>
      <c r="H14" s="9">
        <v>709.41</v>
      </c>
      <c r="I14" s="8">
        <v>11</v>
      </c>
    </row>
    <row r="15" spans="1:9" ht="15" customHeight="1" x14ac:dyDescent="0.3">
      <c r="A15" s="6">
        <v>13</v>
      </c>
      <c r="B15" s="6" t="s">
        <v>39</v>
      </c>
      <c r="C15" s="6" t="s">
        <v>23</v>
      </c>
      <c r="D15" s="6" t="s">
        <v>16</v>
      </c>
      <c r="E15" s="6" t="s">
        <v>17</v>
      </c>
      <c r="F15" s="6" t="s">
        <v>21</v>
      </c>
      <c r="G15" s="7">
        <v>4429.18</v>
      </c>
      <c r="H15" s="7">
        <v>838.37</v>
      </c>
      <c r="I15" s="6">
        <v>5</v>
      </c>
    </row>
    <row r="16" spans="1:9" ht="15" customHeight="1" x14ac:dyDescent="0.3">
      <c r="A16" s="8">
        <v>14</v>
      </c>
      <c r="B16" s="8" t="s">
        <v>40</v>
      </c>
      <c r="C16" s="8" t="s">
        <v>29</v>
      </c>
      <c r="D16" s="8" t="s">
        <v>20</v>
      </c>
      <c r="E16" s="8" t="s">
        <v>13</v>
      </c>
      <c r="F16" s="8" t="s">
        <v>14</v>
      </c>
      <c r="G16" s="9">
        <v>3747.72</v>
      </c>
      <c r="H16" s="9">
        <v>347.77</v>
      </c>
      <c r="I16" s="8">
        <v>19</v>
      </c>
    </row>
    <row r="17" spans="1:9" ht="15" customHeight="1" x14ac:dyDescent="0.3">
      <c r="A17" s="6">
        <v>15</v>
      </c>
      <c r="B17" s="6" t="s">
        <v>41</v>
      </c>
      <c r="C17" s="6" t="s">
        <v>38</v>
      </c>
      <c r="D17" s="6" t="s">
        <v>20</v>
      </c>
      <c r="E17" s="6" t="s">
        <v>31</v>
      </c>
      <c r="F17" s="6" t="s">
        <v>32</v>
      </c>
      <c r="G17" s="7">
        <v>2572.16</v>
      </c>
      <c r="H17" s="7">
        <v>-151.99</v>
      </c>
      <c r="I17" s="6">
        <v>2</v>
      </c>
    </row>
    <row r="18" spans="1:9" ht="15" customHeight="1" x14ac:dyDescent="0.3">
      <c r="A18" s="8">
        <v>16</v>
      </c>
      <c r="B18" s="8" t="s">
        <v>42</v>
      </c>
      <c r="C18" s="8" t="s">
        <v>11</v>
      </c>
      <c r="D18" s="8" t="s">
        <v>12</v>
      </c>
      <c r="E18" s="8" t="s">
        <v>13</v>
      </c>
      <c r="F18" s="8" t="s">
        <v>43</v>
      </c>
      <c r="G18" s="9">
        <v>3970.79</v>
      </c>
      <c r="H18" s="9">
        <v>357.26</v>
      </c>
      <c r="I18" s="8">
        <v>3</v>
      </c>
    </row>
    <row r="19" spans="1:9" ht="15" customHeight="1" x14ac:dyDescent="0.3">
      <c r="A19" s="6">
        <v>17</v>
      </c>
      <c r="B19" s="6" t="s">
        <v>44</v>
      </c>
      <c r="C19" s="6" t="s">
        <v>38</v>
      </c>
      <c r="D19" s="6" t="s">
        <v>12</v>
      </c>
      <c r="E19" s="6" t="s">
        <v>31</v>
      </c>
      <c r="F19" s="6" t="s">
        <v>45</v>
      </c>
      <c r="G19" s="7">
        <v>2669.12</v>
      </c>
      <c r="H19" s="7">
        <v>899.45</v>
      </c>
      <c r="I19" s="6">
        <v>1</v>
      </c>
    </row>
    <row r="20" spans="1:9" ht="15" customHeight="1" x14ac:dyDescent="0.3">
      <c r="A20" s="8">
        <v>18</v>
      </c>
      <c r="B20" s="8" t="s">
        <v>46</v>
      </c>
      <c r="C20" s="8" t="s">
        <v>11</v>
      </c>
      <c r="D20" s="8" t="s">
        <v>12</v>
      </c>
      <c r="E20" s="8" t="s">
        <v>17</v>
      </c>
      <c r="F20" s="8" t="s">
        <v>24</v>
      </c>
      <c r="G20" s="9">
        <v>3854.56</v>
      </c>
      <c r="H20" s="9">
        <v>204.6</v>
      </c>
      <c r="I20" s="8">
        <v>10</v>
      </c>
    </row>
    <row r="21" spans="1:9" ht="15" customHeight="1" x14ac:dyDescent="0.3">
      <c r="A21" s="6">
        <v>19</v>
      </c>
      <c r="B21" s="6" t="s">
        <v>47</v>
      </c>
      <c r="C21" s="6" t="s">
        <v>38</v>
      </c>
      <c r="D21" s="6" t="s">
        <v>16</v>
      </c>
      <c r="E21" s="6" t="s">
        <v>13</v>
      </c>
      <c r="F21" s="6" t="s">
        <v>26</v>
      </c>
      <c r="G21" s="7">
        <v>4771.3900000000003</v>
      </c>
      <c r="H21" s="7">
        <v>1403.43</v>
      </c>
      <c r="I21" s="6">
        <v>9</v>
      </c>
    </row>
    <row r="22" spans="1:9" ht="15" customHeight="1" x14ac:dyDescent="0.3">
      <c r="A22" s="8">
        <v>20</v>
      </c>
      <c r="B22" s="8" t="s">
        <v>48</v>
      </c>
      <c r="C22" s="8" t="s">
        <v>23</v>
      </c>
      <c r="D22" s="8" t="s">
        <v>20</v>
      </c>
      <c r="E22" s="8" t="s">
        <v>17</v>
      </c>
      <c r="F22" s="8" t="s">
        <v>24</v>
      </c>
      <c r="G22" s="9">
        <v>4216.26</v>
      </c>
      <c r="H22" s="9">
        <v>541.57000000000005</v>
      </c>
      <c r="I22" s="8">
        <v>7</v>
      </c>
    </row>
    <row r="23" spans="1:9" ht="15" customHeight="1" x14ac:dyDescent="0.3">
      <c r="A23" s="6">
        <v>21</v>
      </c>
      <c r="B23" s="6" t="s">
        <v>49</v>
      </c>
      <c r="C23" s="6" t="s">
        <v>23</v>
      </c>
      <c r="D23" s="6" t="s">
        <v>20</v>
      </c>
      <c r="E23" s="6" t="s">
        <v>31</v>
      </c>
      <c r="F23" s="6" t="s">
        <v>50</v>
      </c>
      <c r="G23" s="7">
        <v>3014.78</v>
      </c>
      <c r="H23" s="7">
        <v>361.39</v>
      </c>
      <c r="I23" s="6">
        <v>4</v>
      </c>
    </row>
    <row r="24" spans="1:9" ht="15" customHeight="1" x14ac:dyDescent="0.3">
      <c r="A24" s="8">
        <v>22</v>
      </c>
      <c r="B24" s="8" t="s">
        <v>51</v>
      </c>
      <c r="C24" s="8" t="s">
        <v>29</v>
      </c>
      <c r="D24" s="8" t="s">
        <v>20</v>
      </c>
      <c r="E24" s="8" t="s">
        <v>31</v>
      </c>
      <c r="F24" s="8" t="s">
        <v>50</v>
      </c>
      <c r="G24" s="9">
        <v>1242.31</v>
      </c>
      <c r="H24" s="9">
        <v>192.94</v>
      </c>
      <c r="I24" s="8">
        <v>3</v>
      </c>
    </row>
    <row r="25" spans="1:9" ht="15" customHeight="1" x14ac:dyDescent="0.3">
      <c r="A25" s="6">
        <v>23</v>
      </c>
      <c r="B25" s="6" t="s">
        <v>52</v>
      </c>
      <c r="C25" s="6" t="s">
        <v>11</v>
      </c>
      <c r="D25" s="6" t="s">
        <v>16</v>
      </c>
      <c r="E25" s="6" t="s">
        <v>17</v>
      </c>
      <c r="F25" s="6" t="s">
        <v>18</v>
      </c>
      <c r="G25" s="7">
        <v>4891.0200000000004</v>
      </c>
      <c r="H25" s="7">
        <v>683.36</v>
      </c>
      <c r="I25" s="6">
        <v>5</v>
      </c>
    </row>
    <row r="26" spans="1:9" ht="15" customHeight="1" x14ac:dyDescent="0.3">
      <c r="A26" s="8">
        <v>24</v>
      </c>
      <c r="B26" s="8" t="s">
        <v>53</v>
      </c>
      <c r="C26" s="8" t="s">
        <v>23</v>
      </c>
      <c r="D26" s="8" t="s">
        <v>16</v>
      </c>
      <c r="E26" s="8" t="s">
        <v>17</v>
      </c>
      <c r="F26" s="8" t="s">
        <v>35</v>
      </c>
      <c r="G26" s="9">
        <v>1362.03</v>
      </c>
      <c r="H26" s="9">
        <v>398.52</v>
      </c>
      <c r="I26" s="8">
        <v>14</v>
      </c>
    </row>
    <row r="27" spans="1:9" ht="15" customHeight="1" x14ac:dyDescent="0.3">
      <c r="A27" s="6">
        <v>25</v>
      </c>
      <c r="B27" s="6" t="s">
        <v>54</v>
      </c>
      <c r="C27" s="6" t="s">
        <v>23</v>
      </c>
      <c r="D27" s="6" t="s">
        <v>12</v>
      </c>
      <c r="E27" s="6" t="s">
        <v>17</v>
      </c>
      <c r="F27" s="6" t="s">
        <v>35</v>
      </c>
      <c r="G27" s="7">
        <v>3579.1</v>
      </c>
      <c r="H27" s="7">
        <v>284.70999999999998</v>
      </c>
      <c r="I27" s="6">
        <v>12</v>
      </c>
    </row>
    <row r="28" spans="1:9" ht="15" customHeight="1" x14ac:dyDescent="0.3">
      <c r="A28" s="8">
        <v>26</v>
      </c>
      <c r="B28" s="8" t="s">
        <v>55</v>
      </c>
      <c r="C28" s="8" t="s">
        <v>38</v>
      </c>
      <c r="D28" s="8" t="s">
        <v>16</v>
      </c>
      <c r="E28" s="8" t="s">
        <v>17</v>
      </c>
      <c r="F28" s="8" t="s">
        <v>18</v>
      </c>
      <c r="G28" s="9">
        <v>1277.1300000000001</v>
      </c>
      <c r="H28" s="9">
        <v>-90.92</v>
      </c>
      <c r="I28" s="8">
        <v>1</v>
      </c>
    </row>
    <row r="29" spans="1:9" ht="15" customHeight="1" x14ac:dyDescent="0.3">
      <c r="A29" s="6">
        <v>27</v>
      </c>
      <c r="B29" s="6" t="s">
        <v>56</v>
      </c>
      <c r="C29" s="6" t="s">
        <v>23</v>
      </c>
      <c r="D29" s="6" t="s">
        <v>20</v>
      </c>
      <c r="E29" s="6" t="s">
        <v>17</v>
      </c>
      <c r="F29" s="6" t="s">
        <v>18</v>
      </c>
      <c r="G29" s="7">
        <v>401.42</v>
      </c>
      <c r="H29" s="7">
        <v>73.86</v>
      </c>
      <c r="I29" s="6">
        <v>8</v>
      </c>
    </row>
    <row r="30" spans="1:9" ht="15" customHeight="1" x14ac:dyDescent="0.3">
      <c r="A30" s="8">
        <v>28</v>
      </c>
      <c r="B30" s="8" t="s">
        <v>57</v>
      </c>
      <c r="C30" s="8" t="s">
        <v>11</v>
      </c>
      <c r="D30" s="8" t="s">
        <v>16</v>
      </c>
      <c r="E30" s="8" t="s">
        <v>13</v>
      </c>
      <c r="F30" s="8" t="s">
        <v>26</v>
      </c>
      <c r="G30" s="9">
        <v>2595.0700000000002</v>
      </c>
      <c r="H30" s="9">
        <v>65.69</v>
      </c>
      <c r="I30" s="8">
        <v>16</v>
      </c>
    </row>
    <row r="31" spans="1:9" ht="15" customHeight="1" x14ac:dyDescent="0.3">
      <c r="A31" s="6">
        <v>29</v>
      </c>
      <c r="B31" s="6" t="s">
        <v>58</v>
      </c>
      <c r="C31" s="6" t="s">
        <v>23</v>
      </c>
      <c r="D31" s="6" t="s">
        <v>20</v>
      </c>
      <c r="E31" s="6" t="s">
        <v>17</v>
      </c>
      <c r="F31" s="6" t="s">
        <v>21</v>
      </c>
      <c r="G31" s="7">
        <v>1252.8399999999999</v>
      </c>
      <c r="H31" s="7">
        <v>141.37</v>
      </c>
      <c r="I31" s="6">
        <v>14</v>
      </c>
    </row>
    <row r="32" spans="1:9" ht="15" customHeight="1" x14ac:dyDescent="0.3">
      <c r="A32" s="8">
        <v>30</v>
      </c>
      <c r="B32" s="8" t="s">
        <v>59</v>
      </c>
      <c r="C32" s="8" t="s">
        <v>23</v>
      </c>
      <c r="D32" s="8" t="s">
        <v>20</v>
      </c>
      <c r="E32" s="8" t="s">
        <v>13</v>
      </c>
      <c r="F32" s="8" t="s">
        <v>60</v>
      </c>
      <c r="G32" s="9">
        <v>1803.77</v>
      </c>
      <c r="H32" s="9">
        <v>153.31</v>
      </c>
      <c r="I32" s="8">
        <v>2</v>
      </c>
    </row>
    <row r="33" spans="1:9" ht="15" customHeight="1" x14ac:dyDescent="0.3">
      <c r="A33" s="6">
        <v>31</v>
      </c>
      <c r="B33" s="6" t="s">
        <v>61</v>
      </c>
      <c r="C33" s="6" t="s">
        <v>11</v>
      </c>
      <c r="D33" s="6" t="s">
        <v>16</v>
      </c>
      <c r="E33" s="6" t="s">
        <v>13</v>
      </c>
      <c r="F33" s="6" t="s">
        <v>14</v>
      </c>
      <c r="G33" s="7">
        <v>4012.93</v>
      </c>
      <c r="H33" s="7">
        <v>-203.97</v>
      </c>
      <c r="I33" s="6">
        <v>7</v>
      </c>
    </row>
    <row r="34" spans="1:9" ht="15" customHeight="1" x14ac:dyDescent="0.3">
      <c r="A34" s="8">
        <v>32</v>
      </c>
      <c r="B34" s="8" t="s">
        <v>62</v>
      </c>
      <c r="C34" s="8" t="s">
        <v>23</v>
      </c>
      <c r="D34" s="8" t="s">
        <v>16</v>
      </c>
      <c r="E34" s="8" t="s">
        <v>17</v>
      </c>
      <c r="F34" s="8" t="s">
        <v>35</v>
      </c>
      <c r="G34" s="9">
        <v>2138.31</v>
      </c>
      <c r="H34" s="9">
        <v>54.2</v>
      </c>
      <c r="I34" s="8">
        <v>8</v>
      </c>
    </row>
    <row r="35" spans="1:9" ht="15" customHeight="1" x14ac:dyDescent="0.3">
      <c r="A35" s="6">
        <v>33</v>
      </c>
      <c r="B35" s="6" t="s">
        <v>63</v>
      </c>
      <c r="C35" s="6" t="s">
        <v>11</v>
      </c>
      <c r="D35" s="6" t="s">
        <v>12</v>
      </c>
      <c r="E35" s="6" t="s">
        <v>31</v>
      </c>
      <c r="F35" s="6" t="s">
        <v>50</v>
      </c>
      <c r="G35" s="7">
        <v>300.41000000000003</v>
      </c>
      <c r="H35" s="7">
        <v>105.05</v>
      </c>
      <c r="I35" s="6">
        <v>1</v>
      </c>
    </row>
    <row r="36" spans="1:9" ht="15" customHeight="1" x14ac:dyDescent="0.3">
      <c r="A36" s="8">
        <v>34</v>
      </c>
      <c r="B36" s="8" t="s">
        <v>64</v>
      </c>
      <c r="C36" s="8" t="s">
        <v>11</v>
      </c>
      <c r="D36" s="8" t="s">
        <v>20</v>
      </c>
      <c r="E36" s="8" t="s">
        <v>13</v>
      </c>
      <c r="F36" s="8" t="s">
        <v>60</v>
      </c>
      <c r="G36" s="9">
        <v>2453.92</v>
      </c>
      <c r="H36" s="9">
        <v>-9.36</v>
      </c>
      <c r="I36" s="8">
        <v>13</v>
      </c>
    </row>
    <row r="37" spans="1:9" ht="15" customHeight="1" x14ac:dyDescent="0.3">
      <c r="A37" s="6">
        <v>35</v>
      </c>
      <c r="B37" s="6" t="s">
        <v>65</v>
      </c>
      <c r="C37" s="6" t="s">
        <v>11</v>
      </c>
      <c r="D37" s="6" t="s">
        <v>16</v>
      </c>
      <c r="E37" s="6" t="s">
        <v>13</v>
      </c>
      <c r="F37" s="6" t="s">
        <v>26</v>
      </c>
      <c r="G37" s="7">
        <v>4927.28</v>
      </c>
      <c r="H37" s="7">
        <v>95.3</v>
      </c>
      <c r="I37" s="6">
        <v>15</v>
      </c>
    </row>
    <row r="38" spans="1:9" ht="15" customHeight="1" x14ac:dyDescent="0.3">
      <c r="A38" s="8">
        <v>36</v>
      </c>
      <c r="B38" s="8" t="s">
        <v>66</v>
      </c>
      <c r="C38" s="8" t="s">
        <v>29</v>
      </c>
      <c r="D38" s="8" t="s">
        <v>12</v>
      </c>
      <c r="E38" s="8" t="s">
        <v>31</v>
      </c>
      <c r="F38" s="8" t="s">
        <v>45</v>
      </c>
      <c r="G38" s="9">
        <v>816.24</v>
      </c>
      <c r="H38" s="9">
        <v>27.36</v>
      </c>
      <c r="I38" s="8">
        <v>2</v>
      </c>
    </row>
    <row r="39" spans="1:9" ht="15" customHeight="1" x14ac:dyDescent="0.3">
      <c r="A39" s="6">
        <v>37</v>
      </c>
      <c r="B39" s="6" t="s">
        <v>67</v>
      </c>
      <c r="C39" s="6" t="s">
        <v>11</v>
      </c>
      <c r="D39" s="6" t="s">
        <v>16</v>
      </c>
      <c r="E39" s="6" t="s">
        <v>17</v>
      </c>
      <c r="F39" s="6" t="s">
        <v>18</v>
      </c>
      <c r="G39" s="7">
        <v>298.2</v>
      </c>
      <c r="H39" s="7">
        <v>34.159999999999997</v>
      </c>
      <c r="I39" s="6">
        <v>17</v>
      </c>
    </row>
    <row r="40" spans="1:9" ht="15" customHeight="1" x14ac:dyDescent="0.3">
      <c r="A40" s="8">
        <v>38</v>
      </c>
      <c r="B40" s="8" t="s">
        <v>68</v>
      </c>
      <c r="C40" s="8" t="s">
        <v>23</v>
      </c>
      <c r="D40" s="8" t="s">
        <v>12</v>
      </c>
      <c r="E40" s="8" t="s">
        <v>13</v>
      </c>
      <c r="F40" s="8" t="s">
        <v>26</v>
      </c>
      <c r="G40" s="9">
        <v>4264.1499999999996</v>
      </c>
      <c r="H40" s="9">
        <v>-294.93</v>
      </c>
      <c r="I40" s="8">
        <v>3</v>
      </c>
    </row>
    <row r="41" spans="1:9" ht="15" customHeight="1" x14ac:dyDescent="0.3">
      <c r="A41" s="6">
        <v>39</v>
      </c>
      <c r="B41" s="6" t="s">
        <v>69</v>
      </c>
      <c r="C41" s="6" t="s">
        <v>23</v>
      </c>
      <c r="D41" s="6" t="s">
        <v>20</v>
      </c>
      <c r="E41" s="6" t="s">
        <v>31</v>
      </c>
      <c r="F41" s="6" t="s">
        <v>32</v>
      </c>
      <c r="G41" s="7">
        <v>2915.65</v>
      </c>
      <c r="H41" s="7">
        <v>-239.42</v>
      </c>
      <c r="I41" s="6">
        <v>3</v>
      </c>
    </row>
    <row r="42" spans="1:9" ht="15" customHeight="1" x14ac:dyDescent="0.3">
      <c r="A42" s="8">
        <v>40</v>
      </c>
      <c r="B42" s="8" t="s">
        <v>70</v>
      </c>
      <c r="C42" s="8" t="s">
        <v>38</v>
      </c>
      <c r="D42" s="8" t="s">
        <v>12</v>
      </c>
      <c r="E42" s="8" t="s">
        <v>17</v>
      </c>
      <c r="F42" s="8" t="s">
        <v>24</v>
      </c>
      <c r="G42" s="9">
        <v>4676.8</v>
      </c>
      <c r="H42" s="9">
        <v>-37.799999999999997</v>
      </c>
      <c r="I42" s="8">
        <v>11</v>
      </c>
    </row>
    <row r="43" spans="1:9" ht="15" customHeight="1" x14ac:dyDescent="0.3">
      <c r="A43" s="6">
        <v>41</v>
      </c>
      <c r="B43" s="6" t="s">
        <v>71</v>
      </c>
      <c r="C43" s="6" t="s">
        <v>23</v>
      </c>
      <c r="D43" s="6" t="s">
        <v>16</v>
      </c>
      <c r="E43" s="6" t="s">
        <v>31</v>
      </c>
      <c r="F43" s="6" t="s">
        <v>32</v>
      </c>
      <c r="G43" s="7">
        <v>3374.87</v>
      </c>
      <c r="H43" s="7">
        <v>118.12</v>
      </c>
      <c r="I43" s="6">
        <v>11</v>
      </c>
    </row>
    <row r="44" spans="1:9" ht="15" customHeight="1" x14ac:dyDescent="0.3">
      <c r="A44" s="8">
        <v>42</v>
      </c>
      <c r="B44" s="8" t="s">
        <v>72</v>
      </c>
      <c r="C44" s="8" t="s">
        <v>11</v>
      </c>
      <c r="D44" s="8" t="s">
        <v>16</v>
      </c>
      <c r="E44" s="8" t="s">
        <v>13</v>
      </c>
      <c r="F44" s="8" t="s">
        <v>26</v>
      </c>
      <c r="G44" s="9">
        <v>412.64</v>
      </c>
      <c r="H44" s="9">
        <v>-1.68</v>
      </c>
      <c r="I44" s="8">
        <v>9</v>
      </c>
    </row>
    <row r="45" spans="1:9" ht="15" customHeight="1" x14ac:dyDescent="0.3">
      <c r="A45" s="6">
        <v>43</v>
      </c>
      <c r="B45" s="6" t="s">
        <v>73</v>
      </c>
      <c r="C45" s="6" t="s">
        <v>23</v>
      </c>
      <c r="D45" s="6" t="s">
        <v>20</v>
      </c>
      <c r="E45" s="6" t="s">
        <v>31</v>
      </c>
      <c r="F45" s="6" t="s">
        <v>32</v>
      </c>
      <c r="G45" s="7">
        <v>1879.16</v>
      </c>
      <c r="H45" s="7">
        <v>-54.52</v>
      </c>
      <c r="I45" s="6">
        <v>18</v>
      </c>
    </row>
    <row r="46" spans="1:9" ht="15" customHeight="1" x14ac:dyDescent="0.3">
      <c r="A46" s="8">
        <v>44</v>
      </c>
      <c r="B46" s="8" t="s">
        <v>74</v>
      </c>
      <c r="C46" s="8" t="s">
        <v>29</v>
      </c>
      <c r="D46" s="8" t="s">
        <v>12</v>
      </c>
      <c r="E46" s="8" t="s">
        <v>17</v>
      </c>
      <c r="F46" s="8" t="s">
        <v>18</v>
      </c>
      <c r="G46" s="9">
        <v>3355.92</v>
      </c>
      <c r="H46" s="9">
        <v>501.95</v>
      </c>
      <c r="I46" s="8">
        <v>4</v>
      </c>
    </row>
    <row r="47" spans="1:9" ht="15" customHeight="1" x14ac:dyDescent="0.3">
      <c r="A47" s="6">
        <v>45</v>
      </c>
      <c r="B47" s="6" t="s">
        <v>75</v>
      </c>
      <c r="C47" s="6" t="s">
        <v>23</v>
      </c>
      <c r="D47" s="6" t="s">
        <v>20</v>
      </c>
      <c r="E47" s="6" t="s">
        <v>31</v>
      </c>
      <c r="F47" s="6" t="s">
        <v>50</v>
      </c>
      <c r="G47" s="7">
        <v>3724.96</v>
      </c>
      <c r="H47" s="7">
        <v>-111.93</v>
      </c>
      <c r="I47" s="6">
        <v>10</v>
      </c>
    </row>
    <row r="48" spans="1:9" ht="15" customHeight="1" x14ac:dyDescent="0.3">
      <c r="A48" s="8">
        <v>46</v>
      </c>
      <c r="B48" s="8" t="s">
        <v>76</v>
      </c>
      <c r="C48" s="8" t="s">
        <v>23</v>
      </c>
      <c r="D48" s="8" t="s">
        <v>16</v>
      </c>
      <c r="E48" s="8" t="s">
        <v>17</v>
      </c>
      <c r="F48" s="8" t="s">
        <v>35</v>
      </c>
      <c r="G48" s="9">
        <v>3453.11</v>
      </c>
      <c r="H48" s="9">
        <v>980.03</v>
      </c>
      <c r="I48" s="8">
        <v>17</v>
      </c>
    </row>
    <row r="49" spans="1:9" ht="15" customHeight="1" x14ac:dyDescent="0.3">
      <c r="A49" s="6">
        <v>47</v>
      </c>
      <c r="B49" s="6" t="s">
        <v>77</v>
      </c>
      <c r="C49" s="6" t="s">
        <v>38</v>
      </c>
      <c r="D49" s="6" t="s">
        <v>20</v>
      </c>
      <c r="E49" s="6" t="s">
        <v>31</v>
      </c>
      <c r="F49" s="6" t="s">
        <v>50</v>
      </c>
      <c r="G49" s="7">
        <v>3189.71</v>
      </c>
      <c r="H49" s="7">
        <v>871.45</v>
      </c>
      <c r="I49" s="6">
        <v>2</v>
      </c>
    </row>
    <row r="50" spans="1:9" ht="15" customHeight="1" x14ac:dyDescent="0.3">
      <c r="A50" s="8">
        <v>48</v>
      </c>
      <c r="B50" s="8" t="s">
        <v>78</v>
      </c>
      <c r="C50" s="8" t="s">
        <v>11</v>
      </c>
      <c r="D50" s="8" t="s">
        <v>20</v>
      </c>
      <c r="E50" s="8" t="s">
        <v>31</v>
      </c>
      <c r="F50" s="8" t="s">
        <v>79</v>
      </c>
      <c r="G50" s="9">
        <v>849.83</v>
      </c>
      <c r="H50" s="9">
        <v>83.99</v>
      </c>
      <c r="I50" s="8">
        <v>14</v>
      </c>
    </row>
    <row r="51" spans="1:9" ht="15" customHeight="1" x14ac:dyDescent="0.3">
      <c r="A51" s="6">
        <v>49</v>
      </c>
      <c r="B51" s="6" t="s">
        <v>80</v>
      </c>
      <c r="C51" s="6" t="s">
        <v>11</v>
      </c>
      <c r="D51" s="6" t="s">
        <v>20</v>
      </c>
      <c r="E51" s="6" t="s">
        <v>13</v>
      </c>
      <c r="F51" s="6" t="s">
        <v>43</v>
      </c>
      <c r="G51" s="7">
        <v>2750.67</v>
      </c>
      <c r="H51" s="7">
        <v>758</v>
      </c>
      <c r="I51" s="6">
        <v>19</v>
      </c>
    </row>
    <row r="52" spans="1:9" ht="15" customHeight="1" x14ac:dyDescent="0.3">
      <c r="A52" s="8">
        <v>50</v>
      </c>
      <c r="B52" s="8" t="s">
        <v>81</v>
      </c>
      <c r="C52" s="8" t="s">
        <v>23</v>
      </c>
      <c r="D52" s="8" t="s">
        <v>20</v>
      </c>
      <c r="E52" s="8" t="s">
        <v>31</v>
      </c>
      <c r="F52" s="8" t="s">
        <v>50</v>
      </c>
      <c r="G52" s="9">
        <v>1575.88</v>
      </c>
      <c r="H52" s="9">
        <v>479.92</v>
      </c>
      <c r="I52" s="8">
        <v>2</v>
      </c>
    </row>
    <row r="53" spans="1:9" ht="15" customHeight="1" x14ac:dyDescent="0.3">
      <c r="A53" s="6">
        <v>51</v>
      </c>
      <c r="B53" s="6" t="s">
        <v>82</v>
      </c>
      <c r="C53" s="6" t="s">
        <v>29</v>
      </c>
      <c r="D53" s="6" t="s">
        <v>12</v>
      </c>
      <c r="E53" s="6" t="s">
        <v>13</v>
      </c>
      <c r="F53" s="6" t="s">
        <v>43</v>
      </c>
      <c r="G53" s="7">
        <v>3351.32</v>
      </c>
      <c r="H53" s="7">
        <v>198.25</v>
      </c>
      <c r="I53" s="6">
        <v>18</v>
      </c>
    </row>
    <row r="54" spans="1:9" ht="15" customHeight="1" x14ac:dyDescent="0.3">
      <c r="A54" s="8">
        <v>52</v>
      </c>
      <c r="B54" s="8" t="s">
        <v>83</v>
      </c>
      <c r="C54" s="8" t="s">
        <v>38</v>
      </c>
      <c r="D54" s="8" t="s">
        <v>12</v>
      </c>
      <c r="E54" s="8" t="s">
        <v>17</v>
      </c>
      <c r="F54" s="8" t="s">
        <v>35</v>
      </c>
      <c r="G54" s="9">
        <v>4632.53</v>
      </c>
      <c r="H54" s="9">
        <v>30.26</v>
      </c>
      <c r="I54" s="8">
        <v>6</v>
      </c>
    </row>
    <row r="55" spans="1:9" ht="15" customHeight="1" x14ac:dyDescent="0.3">
      <c r="A55" s="6">
        <v>53</v>
      </c>
      <c r="B55" s="6" t="s">
        <v>84</v>
      </c>
      <c r="C55" s="6" t="s">
        <v>23</v>
      </c>
      <c r="D55" s="6" t="s">
        <v>20</v>
      </c>
      <c r="E55" s="6" t="s">
        <v>31</v>
      </c>
      <c r="F55" s="6" t="s">
        <v>32</v>
      </c>
      <c r="G55" s="7">
        <v>3695.99</v>
      </c>
      <c r="H55" s="7">
        <v>182.89</v>
      </c>
      <c r="I55" s="6">
        <v>14</v>
      </c>
    </row>
    <row r="56" spans="1:9" ht="15" customHeight="1" x14ac:dyDescent="0.3">
      <c r="A56" s="8">
        <v>54</v>
      </c>
      <c r="B56" s="8" t="s">
        <v>85</v>
      </c>
      <c r="C56" s="8" t="s">
        <v>23</v>
      </c>
      <c r="D56" s="8" t="s">
        <v>20</v>
      </c>
      <c r="E56" s="8" t="s">
        <v>31</v>
      </c>
      <c r="F56" s="8" t="s">
        <v>50</v>
      </c>
      <c r="G56" s="9">
        <v>1943.58</v>
      </c>
      <c r="H56" s="9">
        <v>-160.49</v>
      </c>
      <c r="I56" s="8">
        <v>16</v>
      </c>
    </row>
    <row r="57" spans="1:9" ht="15" customHeight="1" x14ac:dyDescent="0.3">
      <c r="A57" s="6">
        <v>55</v>
      </c>
      <c r="B57" s="6" t="s">
        <v>86</v>
      </c>
      <c r="C57" s="6" t="s">
        <v>23</v>
      </c>
      <c r="D57" s="6" t="s">
        <v>16</v>
      </c>
      <c r="E57" s="6" t="s">
        <v>13</v>
      </c>
      <c r="F57" s="6" t="s">
        <v>14</v>
      </c>
      <c r="G57" s="7">
        <v>1560.69</v>
      </c>
      <c r="H57" s="7">
        <v>402.51</v>
      </c>
      <c r="I57" s="6">
        <v>8</v>
      </c>
    </row>
    <row r="58" spans="1:9" ht="15" customHeight="1" x14ac:dyDescent="0.3">
      <c r="A58" s="8">
        <v>56</v>
      </c>
      <c r="B58" s="8" t="s">
        <v>87</v>
      </c>
      <c r="C58" s="8" t="s">
        <v>23</v>
      </c>
      <c r="D58" s="8" t="s">
        <v>12</v>
      </c>
      <c r="E58" s="8" t="s">
        <v>13</v>
      </c>
      <c r="F58" s="8" t="s">
        <v>43</v>
      </c>
      <c r="G58" s="9">
        <v>2022.41</v>
      </c>
      <c r="H58" s="9">
        <v>51.31</v>
      </c>
      <c r="I58" s="8">
        <v>3</v>
      </c>
    </row>
    <row r="59" spans="1:9" ht="15" customHeight="1" x14ac:dyDescent="0.3">
      <c r="A59" s="6">
        <v>57</v>
      </c>
      <c r="B59" s="6" t="s">
        <v>88</v>
      </c>
      <c r="C59" s="6" t="s">
        <v>29</v>
      </c>
      <c r="D59" s="6" t="s">
        <v>12</v>
      </c>
      <c r="E59" s="6" t="s">
        <v>31</v>
      </c>
      <c r="F59" s="6" t="s">
        <v>45</v>
      </c>
      <c r="G59" s="7">
        <v>3413.61</v>
      </c>
      <c r="H59" s="7">
        <v>954.61</v>
      </c>
      <c r="I59" s="6">
        <v>11</v>
      </c>
    </row>
    <row r="60" spans="1:9" ht="15" customHeight="1" x14ac:dyDescent="0.3">
      <c r="A60" s="8">
        <v>58</v>
      </c>
      <c r="B60" s="8" t="s">
        <v>89</v>
      </c>
      <c r="C60" s="8" t="s">
        <v>11</v>
      </c>
      <c r="D60" s="8" t="s">
        <v>16</v>
      </c>
      <c r="E60" s="8" t="s">
        <v>13</v>
      </c>
      <c r="F60" s="8" t="s">
        <v>43</v>
      </c>
      <c r="G60" s="9">
        <v>2923.92</v>
      </c>
      <c r="H60" s="9">
        <v>1001.73</v>
      </c>
      <c r="I60" s="8">
        <v>2</v>
      </c>
    </row>
    <row r="61" spans="1:9" ht="15" customHeight="1" x14ac:dyDescent="0.3">
      <c r="A61" s="6">
        <v>59</v>
      </c>
      <c r="B61" s="6" t="s">
        <v>90</v>
      </c>
      <c r="C61" s="6" t="s">
        <v>11</v>
      </c>
      <c r="D61" s="6" t="s">
        <v>16</v>
      </c>
      <c r="E61" s="6" t="s">
        <v>17</v>
      </c>
      <c r="F61" s="6" t="s">
        <v>24</v>
      </c>
      <c r="G61" s="7">
        <v>3656.3</v>
      </c>
      <c r="H61" s="7">
        <v>150.47</v>
      </c>
      <c r="I61" s="6">
        <v>20</v>
      </c>
    </row>
    <row r="62" spans="1:9" ht="15" customHeight="1" x14ac:dyDescent="0.3">
      <c r="A62" s="8">
        <v>60</v>
      </c>
      <c r="B62" s="8" t="s">
        <v>91</v>
      </c>
      <c r="C62" s="8" t="s">
        <v>11</v>
      </c>
      <c r="D62" s="8" t="s">
        <v>12</v>
      </c>
      <c r="E62" s="8" t="s">
        <v>31</v>
      </c>
      <c r="F62" s="8" t="s">
        <v>32</v>
      </c>
      <c r="G62" s="9">
        <v>1310.88</v>
      </c>
      <c r="H62" s="9">
        <v>287.02</v>
      </c>
      <c r="I62" s="8">
        <v>1</v>
      </c>
    </row>
    <row r="63" spans="1:9" ht="15" customHeight="1" x14ac:dyDescent="0.3">
      <c r="A63" s="6">
        <v>61</v>
      </c>
      <c r="B63" s="6" t="s">
        <v>92</v>
      </c>
      <c r="C63" s="6" t="s">
        <v>23</v>
      </c>
      <c r="D63" s="6" t="s">
        <v>16</v>
      </c>
      <c r="E63" s="6" t="s">
        <v>31</v>
      </c>
      <c r="F63" s="6" t="s">
        <v>50</v>
      </c>
      <c r="G63" s="7">
        <v>4746.93</v>
      </c>
      <c r="H63" s="7">
        <v>1492.18</v>
      </c>
      <c r="I63" s="6">
        <v>20</v>
      </c>
    </row>
    <row r="64" spans="1:9" ht="15" customHeight="1" x14ac:dyDescent="0.3">
      <c r="A64" s="8">
        <v>62</v>
      </c>
      <c r="B64" s="8" t="s">
        <v>93</v>
      </c>
      <c r="C64" s="8" t="s">
        <v>29</v>
      </c>
      <c r="D64" s="8" t="s">
        <v>20</v>
      </c>
      <c r="E64" s="8" t="s">
        <v>17</v>
      </c>
      <c r="F64" s="8" t="s">
        <v>24</v>
      </c>
      <c r="G64" s="9">
        <v>2560.2600000000002</v>
      </c>
      <c r="H64" s="9">
        <v>512.30999999999995</v>
      </c>
      <c r="I64" s="8">
        <v>11</v>
      </c>
    </row>
    <row r="65" spans="1:9" ht="15" customHeight="1" x14ac:dyDescent="0.3">
      <c r="A65" s="6">
        <v>63</v>
      </c>
      <c r="B65" s="6" t="s">
        <v>94</v>
      </c>
      <c r="C65" s="6" t="s">
        <v>38</v>
      </c>
      <c r="D65" s="6" t="s">
        <v>16</v>
      </c>
      <c r="E65" s="6" t="s">
        <v>17</v>
      </c>
      <c r="F65" s="6" t="s">
        <v>35</v>
      </c>
      <c r="G65" s="7">
        <v>999.61</v>
      </c>
      <c r="H65" s="7">
        <v>199.14</v>
      </c>
      <c r="I65" s="6">
        <v>13</v>
      </c>
    </row>
    <row r="66" spans="1:9" ht="15" customHeight="1" x14ac:dyDescent="0.3">
      <c r="A66" s="8">
        <v>64</v>
      </c>
      <c r="B66" s="8" t="s">
        <v>95</v>
      </c>
      <c r="C66" s="8" t="s">
        <v>23</v>
      </c>
      <c r="D66" s="8" t="s">
        <v>12</v>
      </c>
      <c r="E66" s="8" t="s">
        <v>17</v>
      </c>
      <c r="F66" s="8" t="s">
        <v>24</v>
      </c>
      <c r="G66" s="9">
        <v>2060.0700000000002</v>
      </c>
      <c r="H66" s="9">
        <v>566.88</v>
      </c>
      <c r="I66" s="8">
        <v>10</v>
      </c>
    </row>
    <row r="67" spans="1:9" ht="15" customHeight="1" x14ac:dyDescent="0.3">
      <c r="A67" s="6">
        <v>65</v>
      </c>
      <c r="B67" s="6" t="s">
        <v>96</v>
      </c>
      <c r="C67" s="6" t="s">
        <v>29</v>
      </c>
      <c r="D67" s="6" t="s">
        <v>16</v>
      </c>
      <c r="E67" s="6" t="s">
        <v>13</v>
      </c>
      <c r="F67" s="6" t="s">
        <v>14</v>
      </c>
      <c r="G67" s="7">
        <v>2351.69</v>
      </c>
      <c r="H67" s="7">
        <v>232.75</v>
      </c>
      <c r="I67" s="6">
        <v>7</v>
      </c>
    </row>
    <row r="68" spans="1:9" ht="15" customHeight="1" x14ac:dyDescent="0.3">
      <c r="A68" s="8">
        <v>66</v>
      </c>
      <c r="B68" s="8" t="s">
        <v>97</v>
      </c>
      <c r="C68" s="8" t="s">
        <v>38</v>
      </c>
      <c r="D68" s="8" t="s">
        <v>20</v>
      </c>
      <c r="E68" s="8" t="s">
        <v>17</v>
      </c>
      <c r="F68" s="8" t="s">
        <v>18</v>
      </c>
      <c r="G68" s="9">
        <v>1454.74</v>
      </c>
      <c r="H68" s="9">
        <v>289.11</v>
      </c>
      <c r="I68" s="8">
        <v>20</v>
      </c>
    </row>
    <row r="69" spans="1:9" ht="15" customHeight="1" x14ac:dyDescent="0.3">
      <c r="A69" s="6">
        <v>67</v>
      </c>
      <c r="B69" s="6" t="s">
        <v>98</v>
      </c>
      <c r="C69" s="6" t="s">
        <v>29</v>
      </c>
      <c r="D69" s="6" t="s">
        <v>20</v>
      </c>
      <c r="E69" s="6" t="s">
        <v>13</v>
      </c>
      <c r="F69" s="6" t="s">
        <v>14</v>
      </c>
      <c r="G69" s="7">
        <v>1161.97</v>
      </c>
      <c r="H69" s="7">
        <v>-12.07</v>
      </c>
      <c r="I69" s="6">
        <v>1</v>
      </c>
    </row>
    <row r="70" spans="1:9" ht="15" customHeight="1" x14ac:dyDescent="0.3">
      <c r="A70" s="8">
        <v>68</v>
      </c>
      <c r="B70" s="8" t="s">
        <v>99</v>
      </c>
      <c r="C70" s="8" t="s">
        <v>11</v>
      </c>
      <c r="D70" s="8" t="s">
        <v>16</v>
      </c>
      <c r="E70" s="8" t="s">
        <v>13</v>
      </c>
      <c r="F70" s="8" t="s">
        <v>26</v>
      </c>
      <c r="G70" s="9">
        <v>2304.31</v>
      </c>
      <c r="H70" s="9">
        <v>688.44</v>
      </c>
      <c r="I70" s="8">
        <v>19</v>
      </c>
    </row>
    <row r="71" spans="1:9" ht="15" customHeight="1" x14ac:dyDescent="0.3">
      <c r="A71" s="6">
        <v>69</v>
      </c>
      <c r="B71" s="6" t="s">
        <v>100</v>
      </c>
      <c r="C71" s="6" t="s">
        <v>23</v>
      </c>
      <c r="D71" s="6" t="s">
        <v>12</v>
      </c>
      <c r="E71" s="6" t="s">
        <v>17</v>
      </c>
      <c r="F71" s="6" t="s">
        <v>21</v>
      </c>
      <c r="G71" s="7">
        <v>2497.17</v>
      </c>
      <c r="H71" s="7">
        <v>24.45</v>
      </c>
      <c r="I71" s="6">
        <v>1</v>
      </c>
    </row>
    <row r="72" spans="1:9" ht="15" customHeight="1" x14ac:dyDescent="0.3">
      <c r="A72" s="8">
        <v>70</v>
      </c>
      <c r="B72" s="8" t="s">
        <v>101</v>
      </c>
      <c r="C72" s="8" t="s">
        <v>11</v>
      </c>
      <c r="D72" s="8" t="s">
        <v>20</v>
      </c>
      <c r="E72" s="8" t="s">
        <v>31</v>
      </c>
      <c r="F72" s="8" t="s">
        <v>32</v>
      </c>
      <c r="G72" s="9">
        <v>4030.34</v>
      </c>
      <c r="H72" s="9">
        <v>859.11</v>
      </c>
      <c r="I72" s="8">
        <v>15</v>
      </c>
    </row>
    <row r="73" spans="1:9" ht="15" customHeight="1" x14ac:dyDescent="0.3">
      <c r="A73" s="6">
        <v>71</v>
      </c>
      <c r="B73" s="6" t="s">
        <v>102</v>
      </c>
      <c r="C73" s="6" t="s">
        <v>11</v>
      </c>
      <c r="D73" s="6" t="s">
        <v>20</v>
      </c>
      <c r="E73" s="6" t="s">
        <v>17</v>
      </c>
      <c r="F73" s="6" t="s">
        <v>18</v>
      </c>
      <c r="G73" s="7">
        <v>2309.4899999999998</v>
      </c>
      <c r="H73" s="7">
        <v>601.94000000000005</v>
      </c>
      <c r="I73" s="6">
        <v>17</v>
      </c>
    </row>
    <row r="74" spans="1:9" ht="15" customHeight="1" x14ac:dyDescent="0.3">
      <c r="A74" s="8">
        <v>72</v>
      </c>
      <c r="B74" s="8" t="s">
        <v>103</v>
      </c>
      <c r="C74" s="8" t="s">
        <v>29</v>
      </c>
      <c r="D74" s="8" t="s">
        <v>12</v>
      </c>
      <c r="E74" s="8" t="s">
        <v>31</v>
      </c>
      <c r="F74" s="8" t="s">
        <v>45</v>
      </c>
      <c r="G74" s="9">
        <v>4161.32</v>
      </c>
      <c r="H74" s="9">
        <v>609.80999999999995</v>
      </c>
      <c r="I74" s="8">
        <v>6</v>
      </c>
    </row>
    <row r="75" spans="1:9" ht="15" customHeight="1" x14ac:dyDescent="0.3">
      <c r="A75" s="6">
        <v>73</v>
      </c>
      <c r="B75" s="6" t="s">
        <v>104</v>
      </c>
      <c r="C75" s="6" t="s">
        <v>38</v>
      </c>
      <c r="D75" s="6" t="s">
        <v>16</v>
      </c>
      <c r="E75" s="6" t="s">
        <v>31</v>
      </c>
      <c r="F75" s="6" t="s">
        <v>32</v>
      </c>
      <c r="G75" s="7">
        <v>4207.32</v>
      </c>
      <c r="H75" s="7">
        <v>104.3</v>
      </c>
      <c r="I75" s="6">
        <v>17</v>
      </c>
    </row>
    <row r="76" spans="1:9" ht="15" customHeight="1" x14ac:dyDescent="0.3">
      <c r="A76" s="8">
        <v>74</v>
      </c>
      <c r="B76" s="8" t="s">
        <v>105</v>
      </c>
      <c r="C76" s="8" t="s">
        <v>38</v>
      </c>
      <c r="D76" s="8" t="s">
        <v>20</v>
      </c>
      <c r="E76" s="8" t="s">
        <v>17</v>
      </c>
      <c r="F76" s="8" t="s">
        <v>24</v>
      </c>
      <c r="G76" s="9">
        <v>2227.37</v>
      </c>
      <c r="H76" s="9">
        <v>492.46</v>
      </c>
      <c r="I76" s="8">
        <v>8</v>
      </c>
    </row>
    <row r="77" spans="1:9" ht="15" customHeight="1" x14ac:dyDescent="0.3">
      <c r="A77" s="6">
        <v>75</v>
      </c>
      <c r="B77" s="6" t="s">
        <v>106</v>
      </c>
      <c r="C77" s="6" t="s">
        <v>29</v>
      </c>
      <c r="D77" s="6" t="s">
        <v>16</v>
      </c>
      <c r="E77" s="6" t="s">
        <v>31</v>
      </c>
      <c r="F77" s="6" t="s">
        <v>50</v>
      </c>
      <c r="G77" s="7">
        <v>734.95</v>
      </c>
      <c r="H77" s="7">
        <v>2.99</v>
      </c>
      <c r="I77" s="6">
        <v>5</v>
      </c>
    </row>
    <row r="78" spans="1:9" ht="15" customHeight="1" x14ac:dyDescent="0.3">
      <c r="A78" s="8">
        <v>76</v>
      </c>
      <c r="B78" s="8" t="s">
        <v>107</v>
      </c>
      <c r="C78" s="8" t="s">
        <v>23</v>
      </c>
      <c r="D78" s="8" t="s">
        <v>16</v>
      </c>
      <c r="E78" s="8" t="s">
        <v>13</v>
      </c>
      <c r="F78" s="8" t="s">
        <v>60</v>
      </c>
      <c r="G78" s="9">
        <v>1687.86</v>
      </c>
      <c r="H78" s="9">
        <v>185.1</v>
      </c>
      <c r="I78" s="8">
        <v>2</v>
      </c>
    </row>
    <row r="79" spans="1:9" ht="15" customHeight="1" x14ac:dyDescent="0.3">
      <c r="A79" s="6">
        <v>77</v>
      </c>
      <c r="B79" s="6" t="s">
        <v>108</v>
      </c>
      <c r="C79" s="6" t="s">
        <v>23</v>
      </c>
      <c r="D79" s="6" t="s">
        <v>16</v>
      </c>
      <c r="E79" s="6" t="s">
        <v>31</v>
      </c>
      <c r="F79" s="6" t="s">
        <v>50</v>
      </c>
      <c r="G79" s="7">
        <v>4290.82</v>
      </c>
      <c r="H79" s="7">
        <v>1049.18</v>
      </c>
      <c r="I79" s="6">
        <v>13</v>
      </c>
    </row>
    <row r="80" spans="1:9" ht="15" customHeight="1" x14ac:dyDescent="0.3">
      <c r="A80" s="8">
        <v>78</v>
      </c>
      <c r="B80" s="8" t="s">
        <v>109</v>
      </c>
      <c r="C80" s="8" t="s">
        <v>38</v>
      </c>
      <c r="D80" s="8" t="s">
        <v>16</v>
      </c>
      <c r="E80" s="8" t="s">
        <v>13</v>
      </c>
      <c r="F80" s="8" t="s">
        <v>14</v>
      </c>
      <c r="G80" s="9">
        <v>3779.7</v>
      </c>
      <c r="H80" s="9">
        <v>1073.6300000000001</v>
      </c>
      <c r="I80" s="8">
        <v>14</v>
      </c>
    </row>
    <row r="81" spans="1:9" ht="15" customHeight="1" x14ac:dyDescent="0.3">
      <c r="A81" s="6">
        <v>79</v>
      </c>
      <c r="B81" s="6" t="s">
        <v>110</v>
      </c>
      <c r="C81" s="6" t="s">
        <v>23</v>
      </c>
      <c r="D81" s="6" t="s">
        <v>20</v>
      </c>
      <c r="E81" s="6" t="s">
        <v>31</v>
      </c>
      <c r="F81" s="6" t="s">
        <v>79</v>
      </c>
      <c r="G81" s="7">
        <v>2207.39</v>
      </c>
      <c r="H81" s="7">
        <v>-191.91</v>
      </c>
      <c r="I81" s="6">
        <v>11</v>
      </c>
    </row>
    <row r="82" spans="1:9" ht="15" customHeight="1" x14ac:dyDescent="0.3">
      <c r="A82" s="8">
        <v>80</v>
      </c>
      <c r="B82" s="8" t="s">
        <v>111</v>
      </c>
      <c r="C82" s="8" t="s">
        <v>38</v>
      </c>
      <c r="D82" s="8" t="s">
        <v>20</v>
      </c>
      <c r="E82" s="8" t="s">
        <v>17</v>
      </c>
      <c r="F82" s="8" t="s">
        <v>21</v>
      </c>
      <c r="G82" s="9">
        <v>4601.7299999999996</v>
      </c>
      <c r="H82" s="9">
        <v>1570.68</v>
      </c>
      <c r="I82" s="8">
        <v>18</v>
      </c>
    </row>
    <row r="83" spans="1:9" ht="15" customHeight="1" x14ac:dyDescent="0.3">
      <c r="A83" s="6">
        <v>81</v>
      </c>
      <c r="B83" s="6" t="s">
        <v>112</v>
      </c>
      <c r="C83" s="6" t="s">
        <v>11</v>
      </c>
      <c r="D83" s="6" t="s">
        <v>12</v>
      </c>
      <c r="E83" s="6" t="s">
        <v>31</v>
      </c>
      <c r="F83" s="6" t="s">
        <v>50</v>
      </c>
      <c r="G83" s="7">
        <v>465.54</v>
      </c>
      <c r="H83" s="7">
        <v>43.24</v>
      </c>
      <c r="I83" s="6">
        <v>15</v>
      </c>
    </row>
    <row r="84" spans="1:9" ht="15" customHeight="1" x14ac:dyDescent="0.3">
      <c r="A84" s="8">
        <v>82</v>
      </c>
      <c r="B84" s="8" t="s">
        <v>113</v>
      </c>
      <c r="C84" s="8" t="s">
        <v>23</v>
      </c>
      <c r="D84" s="8" t="s">
        <v>16</v>
      </c>
      <c r="E84" s="8" t="s">
        <v>13</v>
      </c>
      <c r="F84" s="8" t="s">
        <v>60</v>
      </c>
      <c r="G84" s="9">
        <v>1670.4</v>
      </c>
      <c r="H84" s="9">
        <v>174.75</v>
      </c>
      <c r="I84" s="8">
        <v>11</v>
      </c>
    </row>
    <row r="85" spans="1:9" ht="15" customHeight="1" x14ac:dyDescent="0.3">
      <c r="A85" s="6">
        <v>83</v>
      </c>
      <c r="B85" s="6" t="s">
        <v>114</v>
      </c>
      <c r="C85" s="6" t="s">
        <v>38</v>
      </c>
      <c r="D85" s="6" t="s">
        <v>16</v>
      </c>
      <c r="E85" s="6" t="s">
        <v>31</v>
      </c>
      <c r="F85" s="6" t="s">
        <v>79</v>
      </c>
      <c r="G85" s="7">
        <v>4182.8100000000004</v>
      </c>
      <c r="H85" s="7">
        <v>466.96</v>
      </c>
      <c r="I85" s="6">
        <v>18</v>
      </c>
    </row>
    <row r="86" spans="1:9" ht="15" customHeight="1" x14ac:dyDescent="0.3">
      <c r="A86" s="8">
        <v>84</v>
      </c>
      <c r="B86" s="8" t="s">
        <v>115</v>
      </c>
      <c r="C86" s="8" t="s">
        <v>11</v>
      </c>
      <c r="D86" s="8" t="s">
        <v>20</v>
      </c>
      <c r="E86" s="8" t="s">
        <v>31</v>
      </c>
      <c r="F86" s="8" t="s">
        <v>50</v>
      </c>
      <c r="G86" s="9">
        <v>3917.1</v>
      </c>
      <c r="H86" s="9">
        <v>757.13</v>
      </c>
      <c r="I86" s="8">
        <v>1</v>
      </c>
    </row>
    <row r="87" spans="1:9" ht="15" customHeight="1" x14ac:dyDescent="0.3">
      <c r="A87" s="6">
        <v>85</v>
      </c>
      <c r="B87" s="6" t="s">
        <v>116</v>
      </c>
      <c r="C87" s="6" t="s">
        <v>23</v>
      </c>
      <c r="D87" s="6" t="s">
        <v>20</v>
      </c>
      <c r="E87" s="6" t="s">
        <v>13</v>
      </c>
      <c r="F87" s="6" t="s">
        <v>43</v>
      </c>
      <c r="G87" s="7">
        <v>1230.8</v>
      </c>
      <c r="H87" s="7">
        <v>139.21</v>
      </c>
      <c r="I87" s="6">
        <v>4</v>
      </c>
    </row>
    <row r="88" spans="1:9" ht="15" customHeight="1" x14ac:dyDescent="0.3">
      <c r="A88" s="8">
        <v>86</v>
      </c>
      <c r="B88" s="8" t="s">
        <v>117</v>
      </c>
      <c r="C88" s="8" t="s">
        <v>23</v>
      </c>
      <c r="D88" s="8" t="s">
        <v>12</v>
      </c>
      <c r="E88" s="8" t="s">
        <v>31</v>
      </c>
      <c r="F88" s="8" t="s">
        <v>79</v>
      </c>
      <c r="G88" s="9">
        <v>3846.15</v>
      </c>
      <c r="H88" s="9">
        <v>-94.21</v>
      </c>
      <c r="I88" s="8">
        <v>20</v>
      </c>
    </row>
    <row r="89" spans="1:9" ht="15" customHeight="1" x14ac:dyDescent="0.3">
      <c r="A89" s="6">
        <v>87</v>
      </c>
      <c r="B89" s="6" t="s">
        <v>118</v>
      </c>
      <c r="C89" s="6" t="s">
        <v>11</v>
      </c>
      <c r="D89" s="6" t="s">
        <v>16</v>
      </c>
      <c r="E89" s="6" t="s">
        <v>13</v>
      </c>
      <c r="F89" s="6" t="s">
        <v>26</v>
      </c>
      <c r="G89" s="7">
        <v>2914.49</v>
      </c>
      <c r="H89" s="7">
        <v>926.81</v>
      </c>
      <c r="I89" s="6">
        <v>19</v>
      </c>
    </row>
    <row r="90" spans="1:9" ht="15" customHeight="1" x14ac:dyDescent="0.3">
      <c r="A90" s="8">
        <v>88</v>
      </c>
      <c r="B90" s="8" t="s">
        <v>119</v>
      </c>
      <c r="C90" s="8" t="s">
        <v>38</v>
      </c>
      <c r="D90" s="8" t="s">
        <v>12</v>
      </c>
      <c r="E90" s="8" t="s">
        <v>31</v>
      </c>
      <c r="F90" s="8" t="s">
        <v>32</v>
      </c>
      <c r="G90" s="9">
        <v>426.18</v>
      </c>
      <c r="H90" s="9">
        <v>89.83</v>
      </c>
      <c r="I90" s="8">
        <v>8</v>
      </c>
    </row>
    <row r="91" spans="1:9" ht="15" customHeight="1" x14ac:dyDescent="0.3">
      <c r="A91" s="6">
        <v>89</v>
      </c>
      <c r="B91" s="6" t="s">
        <v>120</v>
      </c>
      <c r="C91" s="6" t="s">
        <v>11</v>
      </c>
      <c r="D91" s="6" t="s">
        <v>16</v>
      </c>
      <c r="E91" s="6" t="s">
        <v>17</v>
      </c>
      <c r="F91" s="6" t="s">
        <v>18</v>
      </c>
      <c r="G91" s="7">
        <v>3991.32</v>
      </c>
      <c r="H91" s="7">
        <v>617.34</v>
      </c>
      <c r="I91" s="6">
        <v>2</v>
      </c>
    </row>
    <row r="92" spans="1:9" ht="15" customHeight="1" x14ac:dyDescent="0.3">
      <c r="A92" s="8">
        <v>90</v>
      </c>
      <c r="B92" s="8" t="s">
        <v>121</v>
      </c>
      <c r="C92" s="8" t="s">
        <v>29</v>
      </c>
      <c r="D92" s="8" t="s">
        <v>16</v>
      </c>
      <c r="E92" s="8" t="s">
        <v>17</v>
      </c>
      <c r="F92" s="8" t="s">
        <v>24</v>
      </c>
      <c r="G92" s="9">
        <v>391.34</v>
      </c>
      <c r="H92" s="9">
        <v>74.900000000000006</v>
      </c>
      <c r="I92" s="8">
        <v>1</v>
      </c>
    </row>
    <row r="93" spans="1:9" ht="15" customHeight="1" x14ac:dyDescent="0.3">
      <c r="A93" s="6">
        <v>91</v>
      </c>
      <c r="B93" s="6" t="s">
        <v>122</v>
      </c>
      <c r="C93" s="6" t="s">
        <v>38</v>
      </c>
      <c r="D93" s="6" t="s">
        <v>20</v>
      </c>
      <c r="E93" s="6" t="s">
        <v>31</v>
      </c>
      <c r="F93" s="6" t="s">
        <v>45</v>
      </c>
      <c r="G93" s="7">
        <v>4805.8999999999996</v>
      </c>
      <c r="H93" s="7">
        <v>893.96</v>
      </c>
      <c r="I93" s="6">
        <v>15</v>
      </c>
    </row>
    <row r="94" spans="1:9" ht="15" customHeight="1" x14ac:dyDescent="0.3">
      <c r="A94" s="8">
        <v>92</v>
      </c>
      <c r="B94" s="8" t="s">
        <v>123</v>
      </c>
      <c r="C94" s="8" t="s">
        <v>23</v>
      </c>
      <c r="D94" s="8" t="s">
        <v>20</v>
      </c>
      <c r="E94" s="8" t="s">
        <v>31</v>
      </c>
      <c r="F94" s="8" t="s">
        <v>79</v>
      </c>
      <c r="G94" s="9">
        <v>3098.77</v>
      </c>
      <c r="H94" s="9">
        <v>972.48</v>
      </c>
      <c r="I94" s="8">
        <v>16</v>
      </c>
    </row>
    <row r="95" spans="1:9" ht="15" customHeight="1" x14ac:dyDescent="0.3">
      <c r="A95" s="6">
        <v>93</v>
      </c>
      <c r="B95" s="6" t="s">
        <v>124</v>
      </c>
      <c r="C95" s="6" t="s">
        <v>38</v>
      </c>
      <c r="D95" s="6" t="s">
        <v>12</v>
      </c>
      <c r="E95" s="6" t="s">
        <v>31</v>
      </c>
      <c r="F95" s="6" t="s">
        <v>79</v>
      </c>
      <c r="G95" s="7">
        <v>1645.41</v>
      </c>
      <c r="H95" s="7">
        <v>17.23</v>
      </c>
      <c r="I95" s="6">
        <v>3</v>
      </c>
    </row>
    <row r="96" spans="1:9" ht="15" customHeight="1" x14ac:dyDescent="0.3">
      <c r="A96" s="8">
        <v>94</v>
      </c>
      <c r="B96" s="8" t="s">
        <v>125</v>
      </c>
      <c r="C96" s="8" t="s">
        <v>29</v>
      </c>
      <c r="D96" s="8" t="s">
        <v>20</v>
      </c>
      <c r="E96" s="8" t="s">
        <v>31</v>
      </c>
      <c r="F96" s="8" t="s">
        <v>45</v>
      </c>
      <c r="G96" s="9">
        <v>2870.76</v>
      </c>
      <c r="H96" s="9">
        <v>576.12</v>
      </c>
      <c r="I96" s="8">
        <v>11</v>
      </c>
    </row>
    <row r="97" spans="1:9" ht="15" customHeight="1" x14ac:dyDescent="0.3">
      <c r="A97" s="6">
        <v>95</v>
      </c>
      <c r="B97" s="6" t="s">
        <v>126</v>
      </c>
      <c r="C97" s="6" t="s">
        <v>11</v>
      </c>
      <c r="D97" s="6" t="s">
        <v>16</v>
      </c>
      <c r="E97" s="6" t="s">
        <v>31</v>
      </c>
      <c r="F97" s="6" t="s">
        <v>32</v>
      </c>
      <c r="G97" s="7">
        <v>2463.37</v>
      </c>
      <c r="H97" s="7">
        <v>146.99</v>
      </c>
      <c r="I97" s="6">
        <v>9</v>
      </c>
    </row>
    <row r="98" spans="1:9" ht="15" customHeight="1" x14ac:dyDescent="0.3">
      <c r="A98" s="8">
        <v>96</v>
      </c>
      <c r="B98" s="8" t="s">
        <v>127</v>
      </c>
      <c r="C98" s="8" t="s">
        <v>29</v>
      </c>
      <c r="D98" s="8" t="s">
        <v>12</v>
      </c>
      <c r="E98" s="8" t="s">
        <v>31</v>
      </c>
      <c r="F98" s="8" t="s">
        <v>79</v>
      </c>
      <c r="G98" s="9">
        <v>2801.17</v>
      </c>
      <c r="H98" s="9">
        <v>371.11</v>
      </c>
      <c r="I98" s="8">
        <v>7</v>
      </c>
    </row>
    <row r="99" spans="1:9" ht="15" customHeight="1" x14ac:dyDescent="0.3">
      <c r="A99" s="6">
        <v>97</v>
      </c>
      <c r="B99" s="6" t="s">
        <v>128</v>
      </c>
      <c r="C99" s="6" t="s">
        <v>11</v>
      </c>
      <c r="D99" s="6" t="s">
        <v>12</v>
      </c>
      <c r="E99" s="6" t="s">
        <v>13</v>
      </c>
      <c r="F99" s="6" t="s">
        <v>60</v>
      </c>
      <c r="G99" s="7">
        <v>2468.46</v>
      </c>
      <c r="H99" s="7">
        <v>595.33000000000004</v>
      </c>
      <c r="I99" s="6">
        <v>16</v>
      </c>
    </row>
    <row r="100" spans="1:9" ht="15" customHeight="1" x14ac:dyDescent="0.3">
      <c r="A100" s="8">
        <v>98</v>
      </c>
      <c r="B100" s="8" t="s">
        <v>129</v>
      </c>
      <c r="C100" s="8" t="s">
        <v>38</v>
      </c>
      <c r="D100" s="8" t="s">
        <v>20</v>
      </c>
      <c r="E100" s="8" t="s">
        <v>31</v>
      </c>
      <c r="F100" s="8" t="s">
        <v>50</v>
      </c>
      <c r="G100" s="9">
        <v>1506.47</v>
      </c>
      <c r="H100" s="9">
        <v>123.5</v>
      </c>
      <c r="I100" s="8">
        <v>8</v>
      </c>
    </row>
    <row r="101" spans="1:9" ht="15" customHeight="1" x14ac:dyDescent="0.3">
      <c r="A101" s="6">
        <v>99</v>
      </c>
      <c r="B101" s="6" t="s">
        <v>130</v>
      </c>
      <c r="C101" s="6" t="s">
        <v>29</v>
      </c>
      <c r="D101" s="6" t="s">
        <v>12</v>
      </c>
      <c r="E101" s="6" t="s">
        <v>17</v>
      </c>
      <c r="F101" s="6" t="s">
        <v>24</v>
      </c>
      <c r="G101" s="7">
        <v>2392.64</v>
      </c>
      <c r="H101" s="7">
        <v>332.37</v>
      </c>
      <c r="I101" s="6">
        <v>14</v>
      </c>
    </row>
    <row r="102" spans="1:9" ht="15" customHeight="1" x14ac:dyDescent="0.3">
      <c r="A102" s="8">
        <v>100</v>
      </c>
      <c r="B102" s="8" t="s">
        <v>131</v>
      </c>
      <c r="C102" s="8" t="s">
        <v>29</v>
      </c>
      <c r="D102" s="8" t="s">
        <v>12</v>
      </c>
      <c r="E102" s="8" t="s">
        <v>31</v>
      </c>
      <c r="F102" s="8" t="s">
        <v>45</v>
      </c>
      <c r="G102" s="9">
        <v>1391.04</v>
      </c>
      <c r="H102" s="9">
        <v>18.27</v>
      </c>
      <c r="I102" s="8">
        <v>4</v>
      </c>
    </row>
    <row r="103" spans="1:9" ht="15" customHeight="1" x14ac:dyDescent="0.3">
      <c r="A103" s="6">
        <v>101</v>
      </c>
      <c r="B103" s="6" t="s">
        <v>132</v>
      </c>
      <c r="C103" s="6" t="s">
        <v>23</v>
      </c>
      <c r="D103" s="6" t="s">
        <v>20</v>
      </c>
      <c r="E103" s="6" t="s">
        <v>31</v>
      </c>
      <c r="F103" s="6" t="s">
        <v>32</v>
      </c>
      <c r="G103" s="7">
        <v>998.13</v>
      </c>
      <c r="H103" s="7">
        <v>231.94</v>
      </c>
      <c r="I103" s="6">
        <v>9</v>
      </c>
    </row>
    <row r="104" spans="1:9" ht="15" customHeight="1" x14ac:dyDescent="0.3">
      <c r="A104" s="8">
        <v>102</v>
      </c>
      <c r="B104" s="8" t="s">
        <v>133</v>
      </c>
      <c r="C104" s="8" t="s">
        <v>29</v>
      </c>
      <c r="D104" s="8" t="s">
        <v>20</v>
      </c>
      <c r="E104" s="8" t="s">
        <v>13</v>
      </c>
      <c r="F104" s="8" t="s">
        <v>14</v>
      </c>
      <c r="G104" s="9">
        <v>1176.04</v>
      </c>
      <c r="H104" s="9">
        <v>-22.64</v>
      </c>
      <c r="I104" s="8">
        <v>1</v>
      </c>
    </row>
    <row r="105" spans="1:9" ht="15" customHeight="1" x14ac:dyDescent="0.3">
      <c r="A105" s="6">
        <v>103</v>
      </c>
      <c r="B105" s="6" t="s">
        <v>134</v>
      </c>
      <c r="C105" s="6" t="s">
        <v>23</v>
      </c>
      <c r="D105" s="6" t="s">
        <v>20</v>
      </c>
      <c r="E105" s="6" t="s">
        <v>31</v>
      </c>
      <c r="F105" s="6" t="s">
        <v>50</v>
      </c>
      <c r="G105" s="7">
        <v>2789.13</v>
      </c>
      <c r="H105" s="7">
        <v>596.41999999999996</v>
      </c>
      <c r="I105" s="6">
        <v>5</v>
      </c>
    </row>
    <row r="106" spans="1:9" ht="15" customHeight="1" x14ac:dyDescent="0.3">
      <c r="A106" s="8">
        <v>104</v>
      </c>
      <c r="B106" s="8" t="s">
        <v>135</v>
      </c>
      <c r="C106" s="8" t="s">
        <v>38</v>
      </c>
      <c r="D106" s="8" t="s">
        <v>20</v>
      </c>
      <c r="E106" s="8" t="s">
        <v>13</v>
      </c>
      <c r="F106" s="8" t="s">
        <v>14</v>
      </c>
      <c r="G106" s="9">
        <v>2373.5100000000002</v>
      </c>
      <c r="H106" s="9">
        <v>233.1</v>
      </c>
      <c r="I106" s="8">
        <v>6</v>
      </c>
    </row>
    <row r="107" spans="1:9" ht="15" customHeight="1" x14ac:dyDescent="0.3">
      <c r="A107" s="6">
        <v>105</v>
      </c>
      <c r="B107" s="6" t="s">
        <v>136</v>
      </c>
      <c r="C107" s="6" t="s">
        <v>11</v>
      </c>
      <c r="D107" s="6" t="s">
        <v>16</v>
      </c>
      <c r="E107" s="6" t="s">
        <v>31</v>
      </c>
      <c r="F107" s="6" t="s">
        <v>50</v>
      </c>
      <c r="G107" s="7">
        <v>4119.47</v>
      </c>
      <c r="H107" s="7">
        <v>330.87</v>
      </c>
      <c r="I107" s="6">
        <v>3</v>
      </c>
    </row>
    <row r="108" spans="1:9" ht="15" customHeight="1" x14ac:dyDescent="0.3">
      <c r="A108" s="8">
        <v>106</v>
      </c>
      <c r="B108" s="8" t="s">
        <v>137</v>
      </c>
      <c r="C108" s="8" t="s">
        <v>11</v>
      </c>
      <c r="D108" s="8" t="s">
        <v>20</v>
      </c>
      <c r="E108" s="8" t="s">
        <v>13</v>
      </c>
      <c r="F108" s="8" t="s">
        <v>14</v>
      </c>
      <c r="G108" s="9">
        <v>471.65</v>
      </c>
      <c r="H108" s="9">
        <v>5.51</v>
      </c>
      <c r="I108" s="8">
        <v>18</v>
      </c>
    </row>
    <row r="109" spans="1:9" ht="15" customHeight="1" x14ac:dyDescent="0.3">
      <c r="A109" s="6">
        <v>107</v>
      </c>
      <c r="B109" s="6" t="s">
        <v>138</v>
      </c>
      <c r="C109" s="6" t="s">
        <v>38</v>
      </c>
      <c r="D109" s="6" t="s">
        <v>12</v>
      </c>
      <c r="E109" s="6" t="s">
        <v>17</v>
      </c>
      <c r="F109" s="6" t="s">
        <v>35</v>
      </c>
      <c r="G109" s="7">
        <v>3889.68</v>
      </c>
      <c r="H109" s="7">
        <v>276.83</v>
      </c>
      <c r="I109" s="6">
        <v>15</v>
      </c>
    </row>
    <row r="110" spans="1:9" ht="15" customHeight="1" x14ac:dyDescent="0.3">
      <c r="A110" s="8">
        <v>108</v>
      </c>
      <c r="B110" s="8" t="s">
        <v>139</v>
      </c>
      <c r="C110" s="8" t="s">
        <v>29</v>
      </c>
      <c r="D110" s="8" t="s">
        <v>16</v>
      </c>
      <c r="E110" s="8" t="s">
        <v>17</v>
      </c>
      <c r="F110" s="8" t="s">
        <v>24</v>
      </c>
      <c r="G110" s="9">
        <v>2864.72</v>
      </c>
      <c r="H110" s="9">
        <v>-208.83</v>
      </c>
      <c r="I110" s="8">
        <v>4</v>
      </c>
    </row>
    <row r="111" spans="1:9" ht="15" customHeight="1" x14ac:dyDescent="0.3">
      <c r="A111" s="6">
        <v>109</v>
      </c>
      <c r="B111" s="6" t="s">
        <v>140</v>
      </c>
      <c r="C111" s="6" t="s">
        <v>23</v>
      </c>
      <c r="D111" s="6" t="s">
        <v>20</v>
      </c>
      <c r="E111" s="6" t="s">
        <v>17</v>
      </c>
      <c r="F111" s="6" t="s">
        <v>24</v>
      </c>
      <c r="G111" s="7">
        <v>3319.12</v>
      </c>
      <c r="H111" s="7">
        <v>-97.33</v>
      </c>
      <c r="I111" s="6">
        <v>6</v>
      </c>
    </row>
    <row r="112" spans="1:9" ht="15" customHeight="1" x14ac:dyDescent="0.3">
      <c r="A112" s="8">
        <v>110</v>
      </c>
      <c r="B112" s="8" t="s">
        <v>141</v>
      </c>
      <c r="C112" s="8" t="s">
        <v>11</v>
      </c>
      <c r="D112" s="8" t="s">
        <v>20</v>
      </c>
      <c r="E112" s="8" t="s">
        <v>13</v>
      </c>
      <c r="F112" s="8" t="s">
        <v>60</v>
      </c>
      <c r="G112" s="9">
        <v>2279.9899999999998</v>
      </c>
      <c r="H112" s="9">
        <v>381.25</v>
      </c>
      <c r="I112" s="8">
        <v>10</v>
      </c>
    </row>
    <row r="113" spans="1:9" ht="15" customHeight="1" x14ac:dyDescent="0.3">
      <c r="A113" s="6">
        <v>111</v>
      </c>
      <c r="B113" s="6" t="s">
        <v>142</v>
      </c>
      <c r="C113" s="6" t="s">
        <v>11</v>
      </c>
      <c r="D113" s="6" t="s">
        <v>16</v>
      </c>
      <c r="E113" s="6" t="s">
        <v>13</v>
      </c>
      <c r="F113" s="6" t="s">
        <v>14</v>
      </c>
      <c r="G113" s="7">
        <v>3529.79</v>
      </c>
      <c r="H113" s="7">
        <v>368.21</v>
      </c>
      <c r="I113" s="6">
        <v>8</v>
      </c>
    </row>
    <row r="114" spans="1:9" ht="15" customHeight="1" x14ac:dyDescent="0.3">
      <c r="A114" s="8">
        <v>112</v>
      </c>
      <c r="B114" s="8" t="s">
        <v>143</v>
      </c>
      <c r="C114" s="8" t="s">
        <v>29</v>
      </c>
      <c r="D114" s="8" t="s">
        <v>12</v>
      </c>
      <c r="E114" s="8" t="s">
        <v>17</v>
      </c>
      <c r="F114" s="8" t="s">
        <v>35</v>
      </c>
      <c r="G114" s="9">
        <v>2154.44</v>
      </c>
      <c r="H114" s="9">
        <v>312.51</v>
      </c>
      <c r="I114" s="8">
        <v>5</v>
      </c>
    </row>
    <row r="115" spans="1:9" ht="15" customHeight="1" x14ac:dyDescent="0.3">
      <c r="A115" s="6">
        <v>113</v>
      </c>
      <c r="B115" s="6" t="s">
        <v>144</v>
      </c>
      <c r="C115" s="6" t="s">
        <v>29</v>
      </c>
      <c r="D115" s="6" t="s">
        <v>20</v>
      </c>
      <c r="E115" s="6" t="s">
        <v>13</v>
      </c>
      <c r="F115" s="6" t="s">
        <v>26</v>
      </c>
      <c r="G115" s="7">
        <v>871.32</v>
      </c>
      <c r="H115" s="7">
        <v>33.479999999999997</v>
      </c>
      <c r="I115" s="6">
        <v>19</v>
      </c>
    </row>
    <row r="116" spans="1:9" ht="15" customHeight="1" x14ac:dyDescent="0.3">
      <c r="A116" s="8">
        <v>114</v>
      </c>
      <c r="B116" s="8" t="s">
        <v>145</v>
      </c>
      <c r="C116" s="8" t="s">
        <v>29</v>
      </c>
      <c r="D116" s="8" t="s">
        <v>20</v>
      </c>
      <c r="E116" s="8" t="s">
        <v>31</v>
      </c>
      <c r="F116" s="8" t="s">
        <v>45</v>
      </c>
      <c r="G116" s="9">
        <v>3458.96</v>
      </c>
      <c r="H116" s="9">
        <v>743.26</v>
      </c>
      <c r="I116" s="8">
        <v>9</v>
      </c>
    </row>
    <row r="117" spans="1:9" ht="15" customHeight="1" x14ac:dyDescent="0.3">
      <c r="A117" s="6">
        <v>115</v>
      </c>
      <c r="B117" s="6" t="s">
        <v>146</v>
      </c>
      <c r="C117" s="6" t="s">
        <v>38</v>
      </c>
      <c r="D117" s="6" t="s">
        <v>20</v>
      </c>
      <c r="E117" s="6" t="s">
        <v>31</v>
      </c>
      <c r="F117" s="6" t="s">
        <v>50</v>
      </c>
      <c r="G117" s="7">
        <v>4452.6400000000003</v>
      </c>
      <c r="H117" s="7">
        <v>1026.51</v>
      </c>
      <c r="I117" s="6">
        <v>20</v>
      </c>
    </row>
    <row r="118" spans="1:9" ht="15" customHeight="1" x14ac:dyDescent="0.3">
      <c r="A118" s="8">
        <v>116</v>
      </c>
      <c r="B118" s="8" t="s">
        <v>147</v>
      </c>
      <c r="C118" s="8" t="s">
        <v>29</v>
      </c>
      <c r="D118" s="8" t="s">
        <v>20</v>
      </c>
      <c r="E118" s="8" t="s">
        <v>13</v>
      </c>
      <c r="F118" s="8" t="s">
        <v>43</v>
      </c>
      <c r="G118" s="9">
        <v>4811.46</v>
      </c>
      <c r="H118" s="9">
        <v>1328.84</v>
      </c>
      <c r="I118" s="8">
        <v>19</v>
      </c>
    </row>
    <row r="119" spans="1:9" ht="15" customHeight="1" x14ac:dyDescent="0.3">
      <c r="A119" s="6">
        <v>117</v>
      </c>
      <c r="B119" s="6" t="s">
        <v>148</v>
      </c>
      <c r="C119" s="6" t="s">
        <v>11</v>
      </c>
      <c r="D119" s="6" t="s">
        <v>16</v>
      </c>
      <c r="E119" s="6" t="s">
        <v>17</v>
      </c>
      <c r="F119" s="6" t="s">
        <v>18</v>
      </c>
      <c r="G119" s="7">
        <v>3827.39</v>
      </c>
      <c r="H119" s="7">
        <v>-81</v>
      </c>
      <c r="I119" s="6">
        <v>17</v>
      </c>
    </row>
    <row r="120" spans="1:9" ht="15" customHeight="1" x14ac:dyDescent="0.3">
      <c r="A120" s="8">
        <v>118</v>
      </c>
      <c r="B120" s="8" t="s">
        <v>149</v>
      </c>
      <c r="C120" s="8" t="s">
        <v>38</v>
      </c>
      <c r="D120" s="8" t="s">
        <v>20</v>
      </c>
      <c r="E120" s="8" t="s">
        <v>31</v>
      </c>
      <c r="F120" s="8" t="s">
        <v>45</v>
      </c>
      <c r="G120" s="9">
        <v>3192.18</v>
      </c>
      <c r="H120" s="9">
        <v>387.14</v>
      </c>
      <c r="I120" s="8">
        <v>3</v>
      </c>
    </row>
    <row r="121" spans="1:9" ht="15" customHeight="1" x14ac:dyDescent="0.3">
      <c r="A121" s="6">
        <v>119</v>
      </c>
      <c r="B121" s="6" t="s">
        <v>150</v>
      </c>
      <c r="C121" s="6" t="s">
        <v>38</v>
      </c>
      <c r="D121" s="6" t="s">
        <v>16</v>
      </c>
      <c r="E121" s="6" t="s">
        <v>31</v>
      </c>
      <c r="F121" s="6" t="s">
        <v>79</v>
      </c>
      <c r="G121" s="7">
        <v>1639.24</v>
      </c>
      <c r="H121" s="7">
        <v>-86.77</v>
      </c>
      <c r="I121" s="6">
        <v>6</v>
      </c>
    </row>
    <row r="122" spans="1:9" ht="15" customHeight="1" x14ac:dyDescent="0.3">
      <c r="A122" s="8">
        <v>120</v>
      </c>
      <c r="B122" s="8" t="s">
        <v>151</v>
      </c>
      <c r="C122" s="8" t="s">
        <v>29</v>
      </c>
      <c r="D122" s="8" t="s">
        <v>12</v>
      </c>
      <c r="E122" s="8" t="s">
        <v>31</v>
      </c>
      <c r="F122" s="8" t="s">
        <v>45</v>
      </c>
      <c r="G122" s="9">
        <v>1476.68</v>
      </c>
      <c r="H122" s="9">
        <v>480.42</v>
      </c>
      <c r="I122" s="8">
        <v>18</v>
      </c>
    </row>
    <row r="123" spans="1:9" ht="15" customHeight="1" x14ac:dyDescent="0.3">
      <c r="A123" s="6">
        <v>121</v>
      </c>
      <c r="B123" s="6" t="s">
        <v>152</v>
      </c>
      <c r="C123" s="6" t="s">
        <v>11</v>
      </c>
      <c r="D123" s="6" t="s">
        <v>20</v>
      </c>
      <c r="E123" s="6" t="s">
        <v>31</v>
      </c>
      <c r="F123" s="6" t="s">
        <v>79</v>
      </c>
      <c r="G123" s="7">
        <v>1299.3699999999999</v>
      </c>
      <c r="H123" s="7">
        <v>-62.16</v>
      </c>
      <c r="I123" s="6">
        <v>13</v>
      </c>
    </row>
    <row r="124" spans="1:9" ht="15" customHeight="1" x14ac:dyDescent="0.3">
      <c r="A124" s="8">
        <v>122</v>
      </c>
      <c r="B124" s="8" t="s">
        <v>153</v>
      </c>
      <c r="C124" s="8" t="s">
        <v>11</v>
      </c>
      <c r="D124" s="8" t="s">
        <v>12</v>
      </c>
      <c r="E124" s="8" t="s">
        <v>17</v>
      </c>
      <c r="F124" s="8" t="s">
        <v>21</v>
      </c>
      <c r="G124" s="9">
        <v>2095.58</v>
      </c>
      <c r="H124" s="9">
        <v>-32.67</v>
      </c>
      <c r="I124" s="8">
        <v>12</v>
      </c>
    </row>
    <row r="125" spans="1:9" ht="15" customHeight="1" x14ac:dyDescent="0.3">
      <c r="A125" s="6">
        <v>123</v>
      </c>
      <c r="B125" s="6" t="s">
        <v>154</v>
      </c>
      <c r="C125" s="6" t="s">
        <v>38</v>
      </c>
      <c r="D125" s="6" t="s">
        <v>16</v>
      </c>
      <c r="E125" s="6" t="s">
        <v>17</v>
      </c>
      <c r="F125" s="6" t="s">
        <v>18</v>
      </c>
      <c r="G125" s="7">
        <v>1057.6099999999999</v>
      </c>
      <c r="H125" s="7">
        <v>155.63</v>
      </c>
      <c r="I125" s="6">
        <v>10</v>
      </c>
    </row>
    <row r="126" spans="1:9" ht="15" customHeight="1" x14ac:dyDescent="0.3">
      <c r="A126" s="8">
        <v>124</v>
      </c>
      <c r="B126" s="8" t="s">
        <v>155</v>
      </c>
      <c r="C126" s="8" t="s">
        <v>38</v>
      </c>
      <c r="D126" s="8" t="s">
        <v>16</v>
      </c>
      <c r="E126" s="8" t="s">
        <v>17</v>
      </c>
      <c r="F126" s="8" t="s">
        <v>18</v>
      </c>
      <c r="G126" s="9">
        <v>192.9</v>
      </c>
      <c r="H126" s="9">
        <v>35.4</v>
      </c>
      <c r="I126" s="8">
        <v>8</v>
      </c>
    </row>
    <row r="127" spans="1:9" ht="15" customHeight="1" x14ac:dyDescent="0.3">
      <c r="A127" s="6">
        <v>125</v>
      </c>
      <c r="B127" s="6" t="s">
        <v>156</v>
      </c>
      <c r="C127" s="6" t="s">
        <v>23</v>
      </c>
      <c r="D127" s="6" t="s">
        <v>12</v>
      </c>
      <c r="E127" s="6" t="s">
        <v>31</v>
      </c>
      <c r="F127" s="6" t="s">
        <v>50</v>
      </c>
      <c r="G127" s="7">
        <v>2783.64</v>
      </c>
      <c r="H127" s="7">
        <v>-161.61000000000001</v>
      </c>
      <c r="I127" s="6">
        <v>4</v>
      </c>
    </row>
    <row r="128" spans="1:9" ht="15" customHeight="1" x14ac:dyDescent="0.3">
      <c r="A128" s="8">
        <v>126</v>
      </c>
      <c r="B128" s="8" t="s">
        <v>157</v>
      </c>
      <c r="C128" s="8" t="s">
        <v>38</v>
      </c>
      <c r="D128" s="8" t="s">
        <v>12</v>
      </c>
      <c r="E128" s="8" t="s">
        <v>13</v>
      </c>
      <c r="F128" s="8" t="s">
        <v>43</v>
      </c>
      <c r="G128" s="9">
        <v>2516.96</v>
      </c>
      <c r="H128" s="9">
        <v>559.95000000000005</v>
      </c>
      <c r="I128" s="8">
        <v>17</v>
      </c>
    </row>
    <row r="129" spans="1:9" ht="15" customHeight="1" x14ac:dyDescent="0.3">
      <c r="A129" s="6">
        <v>127</v>
      </c>
      <c r="B129" s="6" t="s">
        <v>158</v>
      </c>
      <c r="C129" s="6" t="s">
        <v>29</v>
      </c>
      <c r="D129" s="6" t="s">
        <v>16</v>
      </c>
      <c r="E129" s="6" t="s">
        <v>31</v>
      </c>
      <c r="F129" s="6" t="s">
        <v>45</v>
      </c>
      <c r="G129" s="7">
        <v>1256.47</v>
      </c>
      <c r="H129" s="7">
        <v>186.04</v>
      </c>
      <c r="I129" s="6">
        <v>13</v>
      </c>
    </row>
    <row r="130" spans="1:9" ht="15" customHeight="1" x14ac:dyDescent="0.3">
      <c r="A130" s="8">
        <v>128</v>
      </c>
      <c r="B130" s="8" t="s">
        <v>159</v>
      </c>
      <c r="C130" s="8" t="s">
        <v>23</v>
      </c>
      <c r="D130" s="8" t="s">
        <v>12</v>
      </c>
      <c r="E130" s="8" t="s">
        <v>17</v>
      </c>
      <c r="F130" s="8" t="s">
        <v>35</v>
      </c>
      <c r="G130" s="9">
        <v>4326.93</v>
      </c>
      <c r="H130" s="9">
        <v>105.19</v>
      </c>
      <c r="I130" s="8">
        <v>14</v>
      </c>
    </row>
    <row r="131" spans="1:9" ht="15" customHeight="1" x14ac:dyDescent="0.3">
      <c r="A131" s="6">
        <v>129</v>
      </c>
      <c r="B131" s="6" t="s">
        <v>160</v>
      </c>
      <c r="C131" s="6" t="s">
        <v>29</v>
      </c>
      <c r="D131" s="6" t="s">
        <v>16</v>
      </c>
      <c r="E131" s="6" t="s">
        <v>17</v>
      </c>
      <c r="F131" s="6" t="s">
        <v>18</v>
      </c>
      <c r="G131" s="7">
        <v>1450.05</v>
      </c>
      <c r="H131" s="7">
        <v>49.81</v>
      </c>
      <c r="I131" s="6">
        <v>19</v>
      </c>
    </row>
    <row r="132" spans="1:9" ht="15" customHeight="1" x14ac:dyDescent="0.3">
      <c r="A132" s="8">
        <v>130</v>
      </c>
      <c r="B132" s="8" t="s">
        <v>161</v>
      </c>
      <c r="C132" s="8" t="s">
        <v>38</v>
      </c>
      <c r="D132" s="8" t="s">
        <v>16</v>
      </c>
      <c r="E132" s="8" t="s">
        <v>13</v>
      </c>
      <c r="F132" s="8" t="s">
        <v>60</v>
      </c>
      <c r="G132" s="9">
        <v>1758.36</v>
      </c>
      <c r="H132" s="9">
        <v>260.88</v>
      </c>
      <c r="I132" s="8">
        <v>18</v>
      </c>
    </row>
    <row r="133" spans="1:9" ht="15" customHeight="1" x14ac:dyDescent="0.3">
      <c r="A133" s="6">
        <v>131</v>
      </c>
      <c r="B133" s="6" t="s">
        <v>162</v>
      </c>
      <c r="C133" s="6" t="s">
        <v>38</v>
      </c>
      <c r="D133" s="6" t="s">
        <v>16</v>
      </c>
      <c r="E133" s="6" t="s">
        <v>31</v>
      </c>
      <c r="F133" s="6" t="s">
        <v>32</v>
      </c>
      <c r="G133" s="7">
        <v>4904.83</v>
      </c>
      <c r="H133" s="7">
        <v>36.6</v>
      </c>
      <c r="I133" s="6">
        <v>13</v>
      </c>
    </row>
    <row r="134" spans="1:9" ht="15" customHeight="1" x14ac:dyDescent="0.3">
      <c r="A134" s="8">
        <v>132</v>
      </c>
      <c r="B134" s="8" t="s">
        <v>163</v>
      </c>
      <c r="C134" s="8" t="s">
        <v>23</v>
      </c>
      <c r="D134" s="8" t="s">
        <v>20</v>
      </c>
      <c r="E134" s="8" t="s">
        <v>31</v>
      </c>
      <c r="F134" s="8" t="s">
        <v>79</v>
      </c>
      <c r="G134" s="9">
        <v>3736.29</v>
      </c>
      <c r="H134" s="9">
        <v>812.09</v>
      </c>
      <c r="I134" s="8">
        <v>13</v>
      </c>
    </row>
    <row r="135" spans="1:9" ht="15" customHeight="1" x14ac:dyDescent="0.3">
      <c r="A135" s="6">
        <v>133</v>
      </c>
      <c r="B135" s="6" t="s">
        <v>164</v>
      </c>
      <c r="C135" s="6" t="s">
        <v>38</v>
      </c>
      <c r="D135" s="6" t="s">
        <v>12</v>
      </c>
      <c r="E135" s="6" t="s">
        <v>17</v>
      </c>
      <c r="F135" s="6" t="s">
        <v>35</v>
      </c>
      <c r="G135" s="7">
        <v>2501.88</v>
      </c>
      <c r="H135" s="7">
        <v>-208.51</v>
      </c>
      <c r="I135" s="6">
        <v>17</v>
      </c>
    </row>
    <row r="136" spans="1:9" ht="15" customHeight="1" x14ac:dyDescent="0.3">
      <c r="A136" s="8">
        <v>134</v>
      </c>
      <c r="B136" s="8" t="s">
        <v>165</v>
      </c>
      <c r="C136" s="8" t="s">
        <v>29</v>
      </c>
      <c r="D136" s="8" t="s">
        <v>16</v>
      </c>
      <c r="E136" s="8" t="s">
        <v>13</v>
      </c>
      <c r="F136" s="8" t="s">
        <v>26</v>
      </c>
      <c r="G136" s="9">
        <v>2653.46</v>
      </c>
      <c r="H136" s="9">
        <v>280.25</v>
      </c>
      <c r="I136" s="8">
        <v>5</v>
      </c>
    </row>
    <row r="137" spans="1:9" ht="15" customHeight="1" x14ac:dyDescent="0.3">
      <c r="A137" s="6">
        <v>135</v>
      </c>
      <c r="B137" s="6" t="s">
        <v>166</v>
      </c>
      <c r="C137" s="6" t="s">
        <v>38</v>
      </c>
      <c r="D137" s="6" t="s">
        <v>20</v>
      </c>
      <c r="E137" s="6" t="s">
        <v>17</v>
      </c>
      <c r="F137" s="6" t="s">
        <v>18</v>
      </c>
      <c r="G137" s="7">
        <v>2373.98</v>
      </c>
      <c r="H137" s="7">
        <v>797.99</v>
      </c>
      <c r="I137" s="6">
        <v>11</v>
      </c>
    </row>
    <row r="138" spans="1:9" ht="15" customHeight="1" x14ac:dyDescent="0.3">
      <c r="A138" s="8">
        <v>136</v>
      </c>
      <c r="B138" s="8" t="s">
        <v>167</v>
      </c>
      <c r="C138" s="8" t="s">
        <v>38</v>
      </c>
      <c r="D138" s="8" t="s">
        <v>20</v>
      </c>
      <c r="E138" s="8" t="s">
        <v>17</v>
      </c>
      <c r="F138" s="8" t="s">
        <v>24</v>
      </c>
      <c r="G138" s="9">
        <v>4269.09</v>
      </c>
      <c r="H138" s="9">
        <v>1223.97</v>
      </c>
      <c r="I138" s="8">
        <v>13</v>
      </c>
    </row>
    <row r="139" spans="1:9" ht="15" customHeight="1" x14ac:dyDescent="0.3">
      <c r="A139" s="6">
        <v>137</v>
      </c>
      <c r="B139" s="6" t="s">
        <v>168</v>
      </c>
      <c r="C139" s="6" t="s">
        <v>29</v>
      </c>
      <c r="D139" s="6" t="s">
        <v>12</v>
      </c>
      <c r="E139" s="6" t="s">
        <v>17</v>
      </c>
      <c r="F139" s="6" t="s">
        <v>21</v>
      </c>
      <c r="G139" s="7">
        <v>4368.3</v>
      </c>
      <c r="H139" s="7">
        <v>-366.26</v>
      </c>
      <c r="I139" s="6">
        <v>3</v>
      </c>
    </row>
    <row r="140" spans="1:9" ht="15" customHeight="1" x14ac:dyDescent="0.3">
      <c r="A140" s="8">
        <v>138</v>
      </c>
      <c r="B140" s="8" t="s">
        <v>169</v>
      </c>
      <c r="C140" s="8" t="s">
        <v>23</v>
      </c>
      <c r="D140" s="8" t="s">
        <v>12</v>
      </c>
      <c r="E140" s="8" t="s">
        <v>17</v>
      </c>
      <c r="F140" s="8" t="s">
        <v>24</v>
      </c>
      <c r="G140" s="9">
        <v>4987.26</v>
      </c>
      <c r="H140" s="9">
        <v>1177.22</v>
      </c>
      <c r="I140" s="8">
        <v>14</v>
      </c>
    </row>
    <row r="141" spans="1:9" ht="15" customHeight="1" x14ac:dyDescent="0.3">
      <c r="A141" s="6">
        <v>139</v>
      </c>
      <c r="B141" s="6" t="s">
        <v>170</v>
      </c>
      <c r="C141" s="6" t="s">
        <v>11</v>
      </c>
      <c r="D141" s="6" t="s">
        <v>12</v>
      </c>
      <c r="E141" s="6" t="s">
        <v>17</v>
      </c>
      <c r="F141" s="6" t="s">
        <v>18</v>
      </c>
      <c r="G141" s="7">
        <v>2246.21</v>
      </c>
      <c r="H141" s="7">
        <v>476.87</v>
      </c>
      <c r="I141" s="6">
        <v>1</v>
      </c>
    </row>
    <row r="142" spans="1:9" ht="15" customHeight="1" x14ac:dyDescent="0.3">
      <c r="A142" s="8">
        <v>140</v>
      </c>
      <c r="B142" s="8" t="s">
        <v>171</v>
      </c>
      <c r="C142" s="8" t="s">
        <v>11</v>
      </c>
      <c r="D142" s="8" t="s">
        <v>20</v>
      </c>
      <c r="E142" s="8" t="s">
        <v>31</v>
      </c>
      <c r="F142" s="8" t="s">
        <v>79</v>
      </c>
      <c r="G142" s="9">
        <v>1824.39</v>
      </c>
      <c r="H142" s="9">
        <v>171.14</v>
      </c>
      <c r="I142" s="8">
        <v>8</v>
      </c>
    </row>
    <row r="143" spans="1:9" ht="15" customHeight="1" x14ac:dyDescent="0.3">
      <c r="A143" s="6">
        <v>141</v>
      </c>
      <c r="B143" s="6" t="s">
        <v>172</v>
      </c>
      <c r="C143" s="6" t="s">
        <v>38</v>
      </c>
      <c r="D143" s="6" t="s">
        <v>12</v>
      </c>
      <c r="E143" s="6" t="s">
        <v>17</v>
      </c>
      <c r="F143" s="6" t="s">
        <v>35</v>
      </c>
      <c r="G143" s="7">
        <v>891.42</v>
      </c>
      <c r="H143" s="7">
        <v>-57.46</v>
      </c>
      <c r="I143" s="6">
        <v>13</v>
      </c>
    </row>
    <row r="144" spans="1:9" ht="15" customHeight="1" x14ac:dyDescent="0.3">
      <c r="A144" s="8">
        <v>142</v>
      </c>
      <c r="B144" s="8" t="s">
        <v>173</v>
      </c>
      <c r="C144" s="8" t="s">
        <v>23</v>
      </c>
      <c r="D144" s="8" t="s">
        <v>12</v>
      </c>
      <c r="E144" s="8" t="s">
        <v>31</v>
      </c>
      <c r="F144" s="8" t="s">
        <v>32</v>
      </c>
      <c r="G144" s="9">
        <v>1199.33</v>
      </c>
      <c r="H144" s="9">
        <v>224.34</v>
      </c>
      <c r="I144" s="8">
        <v>15</v>
      </c>
    </row>
    <row r="145" spans="1:9" ht="15" customHeight="1" x14ac:dyDescent="0.3">
      <c r="A145" s="6">
        <v>143</v>
      </c>
      <c r="B145" s="6" t="s">
        <v>174</v>
      </c>
      <c r="C145" s="6" t="s">
        <v>29</v>
      </c>
      <c r="D145" s="6" t="s">
        <v>20</v>
      </c>
      <c r="E145" s="6" t="s">
        <v>17</v>
      </c>
      <c r="F145" s="6" t="s">
        <v>21</v>
      </c>
      <c r="G145" s="7">
        <v>4510.99</v>
      </c>
      <c r="H145" s="7">
        <v>924.41</v>
      </c>
      <c r="I145" s="6">
        <v>6</v>
      </c>
    </row>
    <row r="146" spans="1:9" ht="15" customHeight="1" x14ac:dyDescent="0.3">
      <c r="A146" s="8">
        <v>144</v>
      </c>
      <c r="B146" s="8" t="s">
        <v>175</v>
      </c>
      <c r="C146" s="8" t="s">
        <v>11</v>
      </c>
      <c r="D146" s="8" t="s">
        <v>16</v>
      </c>
      <c r="E146" s="8" t="s">
        <v>31</v>
      </c>
      <c r="F146" s="8" t="s">
        <v>79</v>
      </c>
      <c r="G146" s="9">
        <v>3212.75</v>
      </c>
      <c r="H146" s="9">
        <v>292.16000000000003</v>
      </c>
      <c r="I146" s="8">
        <v>9</v>
      </c>
    </row>
    <row r="147" spans="1:9" ht="15" customHeight="1" x14ac:dyDescent="0.3">
      <c r="A147" s="6">
        <v>145</v>
      </c>
      <c r="B147" s="6" t="s">
        <v>176</v>
      </c>
      <c r="C147" s="6" t="s">
        <v>38</v>
      </c>
      <c r="D147" s="6" t="s">
        <v>20</v>
      </c>
      <c r="E147" s="6" t="s">
        <v>31</v>
      </c>
      <c r="F147" s="6" t="s">
        <v>45</v>
      </c>
      <c r="G147" s="7">
        <v>4274.01</v>
      </c>
      <c r="H147" s="7">
        <v>-222.27</v>
      </c>
      <c r="I147" s="6">
        <v>13</v>
      </c>
    </row>
    <row r="148" spans="1:9" ht="15" customHeight="1" x14ac:dyDescent="0.3">
      <c r="A148" s="8">
        <v>146</v>
      </c>
      <c r="B148" s="8" t="s">
        <v>177</v>
      </c>
      <c r="C148" s="8" t="s">
        <v>29</v>
      </c>
      <c r="D148" s="8" t="s">
        <v>16</v>
      </c>
      <c r="E148" s="8" t="s">
        <v>17</v>
      </c>
      <c r="F148" s="8" t="s">
        <v>24</v>
      </c>
      <c r="G148" s="9">
        <v>158.6</v>
      </c>
      <c r="H148" s="9">
        <v>43.38</v>
      </c>
      <c r="I148" s="8">
        <v>13</v>
      </c>
    </row>
    <row r="149" spans="1:9" ht="15" customHeight="1" x14ac:dyDescent="0.3">
      <c r="A149" s="6">
        <v>147</v>
      </c>
      <c r="B149" s="6" t="s">
        <v>178</v>
      </c>
      <c r="C149" s="6" t="s">
        <v>29</v>
      </c>
      <c r="D149" s="6" t="s">
        <v>12</v>
      </c>
      <c r="E149" s="6" t="s">
        <v>13</v>
      </c>
      <c r="F149" s="6" t="s">
        <v>26</v>
      </c>
      <c r="G149" s="7">
        <v>4557.55</v>
      </c>
      <c r="H149" s="7">
        <v>1072.52</v>
      </c>
      <c r="I149" s="6">
        <v>10</v>
      </c>
    </row>
    <row r="150" spans="1:9" ht="15" customHeight="1" x14ac:dyDescent="0.3">
      <c r="A150" s="8">
        <v>148</v>
      </c>
      <c r="B150" s="8" t="s">
        <v>179</v>
      </c>
      <c r="C150" s="8" t="s">
        <v>23</v>
      </c>
      <c r="D150" s="8" t="s">
        <v>16</v>
      </c>
      <c r="E150" s="8" t="s">
        <v>17</v>
      </c>
      <c r="F150" s="8" t="s">
        <v>35</v>
      </c>
      <c r="G150" s="9">
        <v>3201.26</v>
      </c>
      <c r="H150" s="9">
        <v>574.30999999999995</v>
      </c>
      <c r="I150" s="8">
        <v>5</v>
      </c>
    </row>
    <row r="151" spans="1:9" ht="15" customHeight="1" x14ac:dyDescent="0.3">
      <c r="A151" s="6">
        <v>149</v>
      </c>
      <c r="B151" s="6" t="s">
        <v>180</v>
      </c>
      <c r="C151" s="6" t="s">
        <v>11</v>
      </c>
      <c r="D151" s="6" t="s">
        <v>12</v>
      </c>
      <c r="E151" s="6" t="s">
        <v>17</v>
      </c>
      <c r="F151" s="6" t="s">
        <v>18</v>
      </c>
      <c r="G151" s="7">
        <v>1579.22</v>
      </c>
      <c r="H151" s="7">
        <v>155.35</v>
      </c>
      <c r="I151" s="6">
        <v>19</v>
      </c>
    </row>
    <row r="152" spans="1:9" ht="15" customHeight="1" x14ac:dyDescent="0.3">
      <c r="A152" s="8">
        <v>150</v>
      </c>
      <c r="B152" s="8" t="s">
        <v>181</v>
      </c>
      <c r="C152" s="8" t="s">
        <v>29</v>
      </c>
      <c r="D152" s="8" t="s">
        <v>20</v>
      </c>
      <c r="E152" s="8" t="s">
        <v>17</v>
      </c>
      <c r="F152" s="8" t="s">
        <v>18</v>
      </c>
      <c r="G152" s="9">
        <v>4552.66</v>
      </c>
      <c r="H152" s="9">
        <v>214.08</v>
      </c>
      <c r="I152" s="8">
        <v>14</v>
      </c>
    </row>
    <row r="153" spans="1:9" ht="15" customHeight="1" x14ac:dyDescent="0.3">
      <c r="A153" s="6">
        <v>151</v>
      </c>
      <c r="B153" s="6" t="s">
        <v>182</v>
      </c>
      <c r="C153" s="6" t="s">
        <v>23</v>
      </c>
      <c r="D153" s="6" t="s">
        <v>20</v>
      </c>
      <c r="E153" s="6" t="s">
        <v>13</v>
      </c>
      <c r="F153" s="6" t="s">
        <v>14</v>
      </c>
      <c r="G153" s="7">
        <v>2677.72</v>
      </c>
      <c r="H153" s="7">
        <v>832.96</v>
      </c>
      <c r="I153" s="6">
        <v>6</v>
      </c>
    </row>
    <row r="154" spans="1:9" ht="15" customHeight="1" x14ac:dyDescent="0.3">
      <c r="A154" s="8">
        <v>152</v>
      </c>
      <c r="B154" s="8" t="s">
        <v>183</v>
      </c>
      <c r="C154" s="8" t="s">
        <v>29</v>
      </c>
      <c r="D154" s="8" t="s">
        <v>16</v>
      </c>
      <c r="E154" s="8" t="s">
        <v>31</v>
      </c>
      <c r="F154" s="8" t="s">
        <v>79</v>
      </c>
      <c r="G154" s="9">
        <v>4030.95</v>
      </c>
      <c r="H154" s="9">
        <v>446.42</v>
      </c>
      <c r="I154" s="8">
        <v>3</v>
      </c>
    </row>
    <row r="155" spans="1:9" ht="15" customHeight="1" x14ac:dyDescent="0.3">
      <c r="A155" s="6">
        <v>153</v>
      </c>
      <c r="B155" s="6" t="s">
        <v>184</v>
      </c>
      <c r="C155" s="6" t="s">
        <v>23</v>
      </c>
      <c r="D155" s="6" t="s">
        <v>12</v>
      </c>
      <c r="E155" s="6" t="s">
        <v>13</v>
      </c>
      <c r="F155" s="6" t="s">
        <v>60</v>
      </c>
      <c r="G155" s="7">
        <v>4837.99</v>
      </c>
      <c r="H155" s="7">
        <v>1267.8699999999999</v>
      </c>
      <c r="I155" s="6">
        <v>12</v>
      </c>
    </row>
    <row r="156" spans="1:9" ht="15" customHeight="1" x14ac:dyDescent="0.3">
      <c r="A156" s="8">
        <v>154</v>
      </c>
      <c r="B156" s="8" t="s">
        <v>185</v>
      </c>
      <c r="C156" s="8" t="s">
        <v>11</v>
      </c>
      <c r="D156" s="8" t="s">
        <v>20</v>
      </c>
      <c r="E156" s="8" t="s">
        <v>31</v>
      </c>
      <c r="F156" s="8" t="s">
        <v>79</v>
      </c>
      <c r="G156" s="9">
        <v>2706.03</v>
      </c>
      <c r="H156" s="9">
        <v>283.2</v>
      </c>
      <c r="I156" s="8">
        <v>9</v>
      </c>
    </row>
    <row r="157" spans="1:9" ht="15" customHeight="1" x14ac:dyDescent="0.3">
      <c r="A157" s="6">
        <v>155</v>
      </c>
      <c r="B157" s="6" t="s">
        <v>186</v>
      </c>
      <c r="C157" s="6" t="s">
        <v>38</v>
      </c>
      <c r="D157" s="6" t="s">
        <v>16</v>
      </c>
      <c r="E157" s="6" t="s">
        <v>17</v>
      </c>
      <c r="F157" s="6" t="s">
        <v>18</v>
      </c>
      <c r="G157" s="7">
        <v>3390.44</v>
      </c>
      <c r="H157" s="7">
        <v>380.29</v>
      </c>
      <c r="I157" s="6">
        <v>20</v>
      </c>
    </row>
    <row r="158" spans="1:9" ht="15" customHeight="1" x14ac:dyDescent="0.3">
      <c r="A158" s="8">
        <v>156</v>
      </c>
      <c r="B158" s="8" t="s">
        <v>187</v>
      </c>
      <c r="C158" s="8" t="s">
        <v>29</v>
      </c>
      <c r="D158" s="8" t="s">
        <v>20</v>
      </c>
      <c r="E158" s="8" t="s">
        <v>17</v>
      </c>
      <c r="F158" s="8" t="s">
        <v>18</v>
      </c>
      <c r="G158" s="9">
        <v>3195.25</v>
      </c>
      <c r="H158" s="9">
        <v>348.03</v>
      </c>
      <c r="I158" s="8">
        <v>10</v>
      </c>
    </row>
    <row r="159" spans="1:9" ht="15" customHeight="1" x14ac:dyDescent="0.3">
      <c r="A159" s="6">
        <v>157</v>
      </c>
      <c r="B159" s="6" t="s">
        <v>188</v>
      </c>
      <c r="C159" s="6" t="s">
        <v>38</v>
      </c>
      <c r="D159" s="6" t="s">
        <v>20</v>
      </c>
      <c r="E159" s="6" t="s">
        <v>13</v>
      </c>
      <c r="F159" s="6" t="s">
        <v>26</v>
      </c>
      <c r="G159" s="7">
        <v>4733.99</v>
      </c>
      <c r="H159" s="7">
        <v>174.99</v>
      </c>
      <c r="I159" s="6">
        <v>16</v>
      </c>
    </row>
    <row r="160" spans="1:9" ht="15" customHeight="1" x14ac:dyDescent="0.3">
      <c r="A160" s="8">
        <v>158</v>
      </c>
      <c r="B160" s="8" t="s">
        <v>189</v>
      </c>
      <c r="C160" s="8" t="s">
        <v>11</v>
      </c>
      <c r="D160" s="8" t="s">
        <v>20</v>
      </c>
      <c r="E160" s="8" t="s">
        <v>13</v>
      </c>
      <c r="F160" s="8" t="s">
        <v>43</v>
      </c>
      <c r="G160" s="9">
        <v>1973.8</v>
      </c>
      <c r="H160" s="9">
        <v>132.16</v>
      </c>
      <c r="I160" s="8">
        <v>18</v>
      </c>
    </row>
    <row r="161" spans="1:9" ht="15" customHeight="1" x14ac:dyDescent="0.3">
      <c r="A161" s="6">
        <v>159</v>
      </c>
      <c r="B161" s="6" t="s">
        <v>190</v>
      </c>
      <c r="C161" s="6" t="s">
        <v>38</v>
      </c>
      <c r="D161" s="6" t="s">
        <v>12</v>
      </c>
      <c r="E161" s="6" t="s">
        <v>17</v>
      </c>
      <c r="F161" s="6" t="s">
        <v>35</v>
      </c>
      <c r="G161" s="7">
        <v>4432.8</v>
      </c>
      <c r="H161" s="7">
        <v>863.13</v>
      </c>
      <c r="I161" s="6">
        <v>16</v>
      </c>
    </row>
    <row r="162" spans="1:9" ht="15" customHeight="1" x14ac:dyDescent="0.3">
      <c r="A162" s="8">
        <v>160</v>
      </c>
      <c r="B162" s="8" t="s">
        <v>191</v>
      </c>
      <c r="C162" s="8" t="s">
        <v>38</v>
      </c>
      <c r="D162" s="8" t="s">
        <v>20</v>
      </c>
      <c r="E162" s="8" t="s">
        <v>31</v>
      </c>
      <c r="F162" s="8" t="s">
        <v>79</v>
      </c>
      <c r="G162" s="9">
        <v>1125.48</v>
      </c>
      <c r="H162" s="9">
        <v>112.68</v>
      </c>
      <c r="I162" s="8">
        <v>8</v>
      </c>
    </row>
    <row r="163" spans="1:9" ht="15" customHeight="1" x14ac:dyDescent="0.3">
      <c r="A163" s="6">
        <v>161</v>
      </c>
      <c r="B163" s="6" t="s">
        <v>192</v>
      </c>
      <c r="C163" s="6" t="s">
        <v>29</v>
      </c>
      <c r="D163" s="6" t="s">
        <v>12</v>
      </c>
      <c r="E163" s="6" t="s">
        <v>13</v>
      </c>
      <c r="F163" s="6" t="s">
        <v>14</v>
      </c>
      <c r="G163" s="7">
        <v>2745.11</v>
      </c>
      <c r="H163" s="7">
        <v>933.42</v>
      </c>
      <c r="I163" s="6">
        <v>12</v>
      </c>
    </row>
    <row r="164" spans="1:9" ht="15" customHeight="1" x14ac:dyDescent="0.3">
      <c r="A164" s="8">
        <v>162</v>
      </c>
      <c r="B164" s="8" t="s">
        <v>193</v>
      </c>
      <c r="C164" s="8" t="s">
        <v>11</v>
      </c>
      <c r="D164" s="8" t="s">
        <v>16</v>
      </c>
      <c r="E164" s="8" t="s">
        <v>31</v>
      </c>
      <c r="F164" s="8" t="s">
        <v>32</v>
      </c>
      <c r="G164" s="9">
        <v>4842.62</v>
      </c>
      <c r="H164" s="9">
        <v>1583.8</v>
      </c>
      <c r="I164" s="8">
        <v>15</v>
      </c>
    </row>
    <row r="165" spans="1:9" ht="15" customHeight="1" x14ac:dyDescent="0.3">
      <c r="A165" s="6">
        <v>163</v>
      </c>
      <c r="B165" s="6" t="s">
        <v>194</v>
      </c>
      <c r="C165" s="6" t="s">
        <v>11</v>
      </c>
      <c r="D165" s="6" t="s">
        <v>20</v>
      </c>
      <c r="E165" s="6" t="s">
        <v>17</v>
      </c>
      <c r="F165" s="6" t="s">
        <v>18</v>
      </c>
      <c r="G165" s="7">
        <v>300.36</v>
      </c>
      <c r="H165" s="7">
        <v>15.04</v>
      </c>
      <c r="I165" s="6">
        <v>5</v>
      </c>
    </row>
    <row r="166" spans="1:9" ht="15" customHeight="1" x14ac:dyDescent="0.3">
      <c r="A166" s="8">
        <v>164</v>
      </c>
      <c r="B166" s="8" t="s">
        <v>195</v>
      </c>
      <c r="C166" s="8" t="s">
        <v>23</v>
      </c>
      <c r="D166" s="8" t="s">
        <v>12</v>
      </c>
      <c r="E166" s="8" t="s">
        <v>13</v>
      </c>
      <c r="F166" s="8" t="s">
        <v>43</v>
      </c>
      <c r="G166" s="9">
        <v>2952.6</v>
      </c>
      <c r="H166" s="9">
        <v>785.02</v>
      </c>
      <c r="I166" s="8">
        <v>8</v>
      </c>
    </row>
    <row r="167" spans="1:9" ht="15" customHeight="1" x14ac:dyDescent="0.3">
      <c r="A167" s="6">
        <v>165</v>
      </c>
      <c r="B167" s="6" t="s">
        <v>196</v>
      </c>
      <c r="C167" s="6" t="s">
        <v>29</v>
      </c>
      <c r="D167" s="6" t="s">
        <v>12</v>
      </c>
      <c r="E167" s="6" t="s">
        <v>13</v>
      </c>
      <c r="F167" s="6" t="s">
        <v>26</v>
      </c>
      <c r="G167" s="7">
        <v>1422.51</v>
      </c>
      <c r="H167" s="7">
        <v>487.65</v>
      </c>
      <c r="I167" s="6">
        <v>5</v>
      </c>
    </row>
    <row r="168" spans="1:9" ht="15" customHeight="1" x14ac:dyDescent="0.3">
      <c r="A168" s="8">
        <v>166</v>
      </c>
      <c r="B168" s="8" t="s">
        <v>197</v>
      </c>
      <c r="C168" s="8" t="s">
        <v>29</v>
      </c>
      <c r="D168" s="8" t="s">
        <v>20</v>
      </c>
      <c r="E168" s="8" t="s">
        <v>13</v>
      </c>
      <c r="F168" s="8" t="s">
        <v>26</v>
      </c>
      <c r="G168" s="9">
        <v>702.43</v>
      </c>
      <c r="H168" s="9">
        <v>43</v>
      </c>
      <c r="I168" s="8">
        <v>8</v>
      </c>
    </row>
    <row r="169" spans="1:9" ht="15" customHeight="1" x14ac:dyDescent="0.3">
      <c r="A169" s="6">
        <v>167</v>
      </c>
      <c r="B169" s="6" t="s">
        <v>198</v>
      </c>
      <c r="C169" s="6" t="s">
        <v>29</v>
      </c>
      <c r="D169" s="6" t="s">
        <v>20</v>
      </c>
      <c r="E169" s="6" t="s">
        <v>13</v>
      </c>
      <c r="F169" s="6" t="s">
        <v>14</v>
      </c>
      <c r="G169" s="7">
        <v>309.38</v>
      </c>
      <c r="H169" s="7">
        <v>72.319999999999993</v>
      </c>
      <c r="I169" s="6">
        <v>17</v>
      </c>
    </row>
    <row r="170" spans="1:9" ht="15" customHeight="1" x14ac:dyDescent="0.3">
      <c r="A170" s="8">
        <v>168</v>
      </c>
      <c r="B170" s="8" t="s">
        <v>199</v>
      </c>
      <c r="C170" s="8" t="s">
        <v>11</v>
      </c>
      <c r="D170" s="8" t="s">
        <v>20</v>
      </c>
      <c r="E170" s="8" t="s">
        <v>17</v>
      </c>
      <c r="F170" s="8" t="s">
        <v>21</v>
      </c>
      <c r="G170" s="9">
        <v>2268.96</v>
      </c>
      <c r="H170" s="9">
        <v>142.76</v>
      </c>
      <c r="I170" s="8">
        <v>19</v>
      </c>
    </row>
    <row r="171" spans="1:9" ht="15" customHeight="1" x14ac:dyDescent="0.3">
      <c r="A171" s="6">
        <v>169</v>
      </c>
      <c r="B171" s="6" t="s">
        <v>200</v>
      </c>
      <c r="C171" s="6" t="s">
        <v>11</v>
      </c>
      <c r="D171" s="6" t="s">
        <v>12</v>
      </c>
      <c r="E171" s="6" t="s">
        <v>31</v>
      </c>
      <c r="F171" s="6" t="s">
        <v>32</v>
      </c>
      <c r="G171" s="7">
        <v>4729.8100000000004</v>
      </c>
      <c r="H171" s="7">
        <v>-380.68</v>
      </c>
      <c r="I171" s="6">
        <v>17</v>
      </c>
    </row>
    <row r="172" spans="1:9" ht="15" customHeight="1" x14ac:dyDescent="0.3">
      <c r="A172" s="8">
        <v>170</v>
      </c>
      <c r="B172" s="8" t="s">
        <v>201</v>
      </c>
      <c r="C172" s="8" t="s">
        <v>29</v>
      </c>
      <c r="D172" s="8" t="s">
        <v>12</v>
      </c>
      <c r="E172" s="8" t="s">
        <v>31</v>
      </c>
      <c r="F172" s="8" t="s">
        <v>50</v>
      </c>
      <c r="G172" s="9">
        <v>351.09</v>
      </c>
      <c r="H172" s="9">
        <v>40.57</v>
      </c>
      <c r="I172" s="8">
        <v>13</v>
      </c>
    </row>
    <row r="173" spans="1:9" ht="15" customHeight="1" x14ac:dyDescent="0.3">
      <c r="A173" s="6">
        <v>171</v>
      </c>
      <c r="B173" s="6" t="s">
        <v>202</v>
      </c>
      <c r="C173" s="6" t="s">
        <v>38</v>
      </c>
      <c r="D173" s="6" t="s">
        <v>20</v>
      </c>
      <c r="E173" s="6" t="s">
        <v>17</v>
      </c>
      <c r="F173" s="6" t="s">
        <v>21</v>
      </c>
      <c r="G173" s="7">
        <v>3576.39</v>
      </c>
      <c r="H173" s="7">
        <v>356.22</v>
      </c>
      <c r="I173" s="6">
        <v>3</v>
      </c>
    </row>
    <row r="174" spans="1:9" ht="15" customHeight="1" x14ac:dyDescent="0.3">
      <c r="A174" s="8">
        <v>172</v>
      </c>
      <c r="B174" s="8" t="s">
        <v>203</v>
      </c>
      <c r="C174" s="8" t="s">
        <v>29</v>
      </c>
      <c r="D174" s="8" t="s">
        <v>20</v>
      </c>
      <c r="E174" s="8" t="s">
        <v>17</v>
      </c>
      <c r="F174" s="8" t="s">
        <v>18</v>
      </c>
      <c r="G174" s="9">
        <v>674.65</v>
      </c>
      <c r="H174" s="9">
        <v>122.07</v>
      </c>
      <c r="I174" s="8">
        <v>19</v>
      </c>
    </row>
    <row r="175" spans="1:9" ht="15" customHeight="1" x14ac:dyDescent="0.3">
      <c r="A175" s="6">
        <v>173</v>
      </c>
      <c r="B175" s="6" t="s">
        <v>204</v>
      </c>
      <c r="C175" s="6" t="s">
        <v>29</v>
      </c>
      <c r="D175" s="6" t="s">
        <v>12</v>
      </c>
      <c r="E175" s="6" t="s">
        <v>31</v>
      </c>
      <c r="F175" s="6" t="s">
        <v>79</v>
      </c>
      <c r="G175" s="7">
        <v>2295.89</v>
      </c>
      <c r="H175" s="7">
        <v>395.91</v>
      </c>
      <c r="I175" s="6">
        <v>4</v>
      </c>
    </row>
    <row r="176" spans="1:9" ht="15" customHeight="1" x14ac:dyDescent="0.3">
      <c r="A176" s="8">
        <v>174</v>
      </c>
      <c r="B176" s="8" t="s">
        <v>205</v>
      </c>
      <c r="C176" s="8" t="s">
        <v>11</v>
      </c>
      <c r="D176" s="8" t="s">
        <v>12</v>
      </c>
      <c r="E176" s="8" t="s">
        <v>17</v>
      </c>
      <c r="F176" s="8" t="s">
        <v>35</v>
      </c>
      <c r="G176" s="9">
        <v>2178.85</v>
      </c>
      <c r="H176" s="9">
        <v>652.87</v>
      </c>
      <c r="I176" s="8">
        <v>14</v>
      </c>
    </row>
    <row r="177" spans="1:9" ht="15" customHeight="1" x14ac:dyDescent="0.3">
      <c r="A177" s="6">
        <v>175</v>
      </c>
      <c r="B177" s="6" t="s">
        <v>206</v>
      </c>
      <c r="C177" s="6" t="s">
        <v>29</v>
      </c>
      <c r="D177" s="6" t="s">
        <v>16</v>
      </c>
      <c r="E177" s="6" t="s">
        <v>31</v>
      </c>
      <c r="F177" s="6" t="s">
        <v>45</v>
      </c>
      <c r="G177" s="7">
        <v>3661.58</v>
      </c>
      <c r="H177" s="7">
        <v>148.83000000000001</v>
      </c>
      <c r="I177" s="6">
        <v>11</v>
      </c>
    </row>
    <row r="178" spans="1:9" ht="15" customHeight="1" x14ac:dyDescent="0.3">
      <c r="A178" s="8">
        <v>176</v>
      </c>
      <c r="B178" s="8" t="s">
        <v>207</v>
      </c>
      <c r="C178" s="8" t="s">
        <v>29</v>
      </c>
      <c r="D178" s="8" t="s">
        <v>20</v>
      </c>
      <c r="E178" s="8" t="s">
        <v>31</v>
      </c>
      <c r="F178" s="8" t="s">
        <v>45</v>
      </c>
      <c r="G178" s="9">
        <v>382.31</v>
      </c>
      <c r="H178" s="9">
        <v>104.87</v>
      </c>
      <c r="I178" s="8">
        <v>3</v>
      </c>
    </row>
    <row r="179" spans="1:9" ht="15" customHeight="1" x14ac:dyDescent="0.3">
      <c r="A179" s="6">
        <v>177</v>
      </c>
      <c r="B179" s="6" t="s">
        <v>208</v>
      </c>
      <c r="C179" s="6" t="s">
        <v>38</v>
      </c>
      <c r="D179" s="6" t="s">
        <v>12</v>
      </c>
      <c r="E179" s="6" t="s">
        <v>13</v>
      </c>
      <c r="F179" s="6" t="s">
        <v>14</v>
      </c>
      <c r="G179" s="7">
        <v>4068.26</v>
      </c>
      <c r="H179" s="7">
        <v>611.73</v>
      </c>
      <c r="I179" s="6">
        <v>19</v>
      </c>
    </row>
    <row r="180" spans="1:9" ht="15" customHeight="1" x14ac:dyDescent="0.3">
      <c r="A180" s="8">
        <v>178</v>
      </c>
      <c r="B180" s="8" t="s">
        <v>209</v>
      </c>
      <c r="C180" s="8" t="s">
        <v>29</v>
      </c>
      <c r="D180" s="8" t="s">
        <v>20</v>
      </c>
      <c r="E180" s="8" t="s">
        <v>17</v>
      </c>
      <c r="F180" s="8" t="s">
        <v>21</v>
      </c>
      <c r="G180" s="9">
        <v>1800.31</v>
      </c>
      <c r="H180" s="9">
        <v>358.99</v>
      </c>
      <c r="I180" s="8">
        <v>14</v>
      </c>
    </row>
    <row r="181" spans="1:9" ht="15" customHeight="1" x14ac:dyDescent="0.3">
      <c r="A181" s="6">
        <v>179</v>
      </c>
      <c r="B181" s="6" t="s">
        <v>210</v>
      </c>
      <c r="C181" s="6" t="s">
        <v>11</v>
      </c>
      <c r="D181" s="6" t="s">
        <v>12</v>
      </c>
      <c r="E181" s="6" t="s">
        <v>31</v>
      </c>
      <c r="F181" s="6" t="s">
        <v>79</v>
      </c>
      <c r="G181" s="7">
        <v>1790.65</v>
      </c>
      <c r="H181" s="7">
        <v>286.62</v>
      </c>
      <c r="I181" s="6">
        <v>7</v>
      </c>
    </row>
    <row r="182" spans="1:9" ht="15" customHeight="1" x14ac:dyDescent="0.3">
      <c r="A182" s="8">
        <v>180</v>
      </c>
      <c r="B182" s="8" t="s">
        <v>211</v>
      </c>
      <c r="C182" s="8" t="s">
        <v>23</v>
      </c>
      <c r="D182" s="8" t="s">
        <v>16</v>
      </c>
      <c r="E182" s="8" t="s">
        <v>17</v>
      </c>
      <c r="F182" s="8" t="s">
        <v>35</v>
      </c>
      <c r="G182" s="9">
        <v>4244.01</v>
      </c>
      <c r="H182" s="9">
        <v>244.25</v>
      </c>
      <c r="I182" s="8">
        <v>18</v>
      </c>
    </row>
    <row r="183" spans="1:9" ht="15" customHeight="1" x14ac:dyDescent="0.3">
      <c r="A183" s="6">
        <v>181</v>
      </c>
      <c r="B183" s="6" t="s">
        <v>212</v>
      </c>
      <c r="C183" s="6" t="s">
        <v>29</v>
      </c>
      <c r="D183" s="6" t="s">
        <v>16</v>
      </c>
      <c r="E183" s="6" t="s">
        <v>13</v>
      </c>
      <c r="F183" s="6" t="s">
        <v>43</v>
      </c>
      <c r="G183" s="7">
        <v>4045.75</v>
      </c>
      <c r="H183" s="7">
        <v>1134.0999999999999</v>
      </c>
      <c r="I183" s="6">
        <v>20</v>
      </c>
    </row>
    <row r="184" spans="1:9" ht="15" customHeight="1" x14ac:dyDescent="0.3">
      <c r="A184" s="8">
        <v>182</v>
      </c>
      <c r="B184" s="8" t="s">
        <v>213</v>
      </c>
      <c r="C184" s="8" t="s">
        <v>11</v>
      </c>
      <c r="D184" s="8" t="s">
        <v>12</v>
      </c>
      <c r="E184" s="8" t="s">
        <v>17</v>
      </c>
      <c r="F184" s="8" t="s">
        <v>24</v>
      </c>
      <c r="G184" s="9">
        <v>193.32</v>
      </c>
      <c r="H184" s="9">
        <v>4.4400000000000004</v>
      </c>
      <c r="I184" s="8">
        <v>10</v>
      </c>
    </row>
    <row r="185" spans="1:9" ht="15" customHeight="1" x14ac:dyDescent="0.3">
      <c r="A185" s="6">
        <v>183</v>
      </c>
      <c r="B185" s="6" t="s">
        <v>214</v>
      </c>
      <c r="C185" s="6" t="s">
        <v>29</v>
      </c>
      <c r="D185" s="6" t="s">
        <v>20</v>
      </c>
      <c r="E185" s="6" t="s">
        <v>31</v>
      </c>
      <c r="F185" s="6" t="s">
        <v>32</v>
      </c>
      <c r="G185" s="7">
        <v>4355.82</v>
      </c>
      <c r="H185" s="7">
        <v>674.47</v>
      </c>
      <c r="I185" s="6">
        <v>13</v>
      </c>
    </row>
    <row r="186" spans="1:9" ht="15" customHeight="1" x14ac:dyDescent="0.3">
      <c r="A186" s="8">
        <v>184</v>
      </c>
      <c r="B186" s="8" t="s">
        <v>215</v>
      </c>
      <c r="C186" s="8" t="s">
        <v>11</v>
      </c>
      <c r="D186" s="8" t="s">
        <v>12</v>
      </c>
      <c r="E186" s="8" t="s">
        <v>13</v>
      </c>
      <c r="F186" s="8" t="s">
        <v>26</v>
      </c>
      <c r="G186" s="9">
        <v>504.2</v>
      </c>
      <c r="H186" s="9">
        <v>69.94</v>
      </c>
      <c r="I186" s="8">
        <v>13</v>
      </c>
    </row>
    <row r="187" spans="1:9" ht="15" customHeight="1" x14ac:dyDescent="0.3">
      <c r="A187" s="6">
        <v>185</v>
      </c>
      <c r="B187" s="6" t="s">
        <v>216</v>
      </c>
      <c r="C187" s="6" t="s">
        <v>38</v>
      </c>
      <c r="D187" s="6" t="s">
        <v>16</v>
      </c>
      <c r="E187" s="6" t="s">
        <v>31</v>
      </c>
      <c r="F187" s="6" t="s">
        <v>32</v>
      </c>
      <c r="G187" s="7">
        <v>1881.76</v>
      </c>
      <c r="H187" s="7">
        <v>422.87</v>
      </c>
      <c r="I187" s="6">
        <v>19</v>
      </c>
    </row>
    <row r="188" spans="1:9" ht="15" customHeight="1" x14ac:dyDescent="0.3">
      <c r="A188" s="8">
        <v>186</v>
      </c>
      <c r="B188" s="8" t="s">
        <v>217</v>
      </c>
      <c r="C188" s="8" t="s">
        <v>11</v>
      </c>
      <c r="D188" s="8" t="s">
        <v>20</v>
      </c>
      <c r="E188" s="8" t="s">
        <v>13</v>
      </c>
      <c r="F188" s="8" t="s">
        <v>43</v>
      </c>
      <c r="G188" s="9">
        <v>3784.46</v>
      </c>
      <c r="H188" s="9">
        <v>-293.7</v>
      </c>
      <c r="I188" s="8">
        <v>3</v>
      </c>
    </row>
    <row r="189" spans="1:9" ht="15" customHeight="1" x14ac:dyDescent="0.3">
      <c r="A189" s="6">
        <v>187</v>
      </c>
      <c r="B189" s="6" t="s">
        <v>218</v>
      </c>
      <c r="C189" s="6" t="s">
        <v>29</v>
      </c>
      <c r="D189" s="6" t="s">
        <v>12</v>
      </c>
      <c r="E189" s="6" t="s">
        <v>31</v>
      </c>
      <c r="F189" s="6" t="s">
        <v>45</v>
      </c>
      <c r="G189" s="7">
        <v>2454.0300000000002</v>
      </c>
      <c r="H189" s="7">
        <v>242.75</v>
      </c>
      <c r="I189" s="6">
        <v>9</v>
      </c>
    </row>
    <row r="190" spans="1:9" ht="15" customHeight="1" x14ac:dyDescent="0.3">
      <c r="A190" s="8">
        <v>188</v>
      </c>
      <c r="B190" s="8" t="s">
        <v>219</v>
      </c>
      <c r="C190" s="8" t="s">
        <v>23</v>
      </c>
      <c r="D190" s="8" t="s">
        <v>20</v>
      </c>
      <c r="E190" s="8" t="s">
        <v>17</v>
      </c>
      <c r="F190" s="8" t="s">
        <v>24</v>
      </c>
      <c r="G190" s="9">
        <v>2178.0700000000002</v>
      </c>
      <c r="H190" s="9">
        <v>59.81</v>
      </c>
      <c r="I190" s="8">
        <v>19</v>
      </c>
    </row>
    <row r="191" spans="1:9" ht="15" customHeight="1" x14ac:dyDescent="0.3">
      <c r="A191" s="6">
        <v>189</v>
      </c>
      <c r="B191" s="6" t="s">
        <v>220</v>
      </c>
      <c r="C191" s="6" t="s">
        <v>38</v>
      </c>
      <c r="D191" s="6" t="s">
        <v>12</v>
      </c>
      <c r="E191" s="6" t="s">
        <v>17</v>
      </c>
      <c r="F191" s="6" t="s">
        <v>24</v>
      </c>
      <c r="G191" s="7">
        <v>274.82</v>
      </c>
      <c r="H191" s="7">
        <v>21.4</v>
      </c>
      <c r="I191" s="6">
        <v>20</v>
      </c>
    </row>
    <row r="192" spans="1:9" ht="15" customHeight="1" x14ac:dyDescent="0.3">
      <c r="A192" s="8">
        <v>190</v>
      </c>
      <c r="B192" s="8" t="s">
        <v>221</v>
      </c>
      <c r="C192" s="8" t="s">
        <v>11</v>
      </c>
      <c r="D192" s="8" t="s">
        <v>20</v>
      </c>
      <c r="E192" s="8" t="s">
        <v>13</v>
      </c>
      <c r="F192" s="8" t="s">
        <v>14</v>
      </c>
      <c r="G192" s="9">
        <v>4729.3500000000004</v>
      </c>
      <c r="H192" s="9">
        <v>1160.1400000000001</v>
      </c>
      <c r="I192" s="8">
        <v>9</v>
      </c>
    </row>
    <row r="193" spans="1:9" ht="15" customHeight="1" x14ac:dyDescent="0.3">
      <c r="A193" s="6">
        <v>191</v>
      </c>
      <c r="B193" s="6" t="s">
        <v>222</v>
      </c>
      <c r="C193" s="6" t="s">
        <v>29</v>
      </c>
      <c r="D193" s="6" t="s">
        <v>20</v>
      </c>
      <c r="E193" s="6" t="s">
        <v>31</v>
      </c>
      <c r="F193" s="6" t="s">
        <v>50</v>
      </c>
      <c r="G193" s="7">
        <v>2512.06</v>
      </c>
      <c r="H193" s="7">
        <v>235.62</v>
      </c>
      <c r="I193" s="6">
        <v>5</v>
      </c>
    </row>
    <row r="194" spans="1:9" ht="15" customHeight="1" x14ac:dyDescent="0.3">
      <c r="A194" s="8">
        <v>192</v>
      </c>
      <c r="B194" s="8" t="s">
        <v>223</v>
      </c>
      <c r="C194" s="8" t="s">
        <v>38</v>
      </c>
      <c r="D194" s="8" t="s">
        <v>12</v>
      </c>
      <c r="E194" s="8" t="s">
        <v>17</v>
      </c>
      <c r="F194" s="8" t="s">
        <v>35</v>
      </c>
      <c r="G194" s="9">
        <v>2526.3000000000002</v>
      </c>
      <c r="H194" s="9">
        <v>694.76</v>
      </c>
      <c r="I194" s="8">
        <v>12</v>
      </c>
    </row>
    <row r="195" spans="1:9" ht="15" customHeight="1" x14ac:dyDescent="0.3">
      <c r="A195" s="6">
        <v>193</v>
      </c>
      <c r="B195" s="6" t="s">
        <v>224</v>
      </c>
      <c r="C195" s="6" t="s">
        <v>11</v>
      </c>
      <c r="D195" s="6" t="s">
        <v>12</v>
      </c>
      <c r="E195" s="6" t="s">
        <v>31</v>
      </c>
      <c r="F195" s="6" t="s">
        <v>50</v>
      </c>
      <c r="G195" s="7">
        <v>2209.29</v>
      </c>
      <c r="H195" s="7">
        <v>236.15</v>
      </c>
      <c r="I195" s="6">
        <v>3</v>
      </c>
    </row>
    <row r="196" spans="1:9" ht="15" customHeight="1" x14ac:dyDescent="0.3">
      <c r="A196" s="8">
        <v>194</v>
      </c>
      <c r="B196" s="8" t="s">
        <v>225</v>
      </c>
      <c r="C196" s="8" t="s">
        <v>29</v>
      </c>
      <c r="D196" s="8" t="s">
        <v>16</v>
      </c>
      <c r="E196" s="8" t="s">
        <v>17</v>
      </c>
      <c r="F196" s="8" t="s">
        <v>21</v>
      </c>
      <c r="G196" s="9">
        <v>3562.02</v>
      </c>
      <c r="H196" s="9">
        <v>313.32</v>
      </c>
      <c r="I196" s="8">
        <v>4</v>
      </c>
    </row>
    <row r="197" spans="1:9" ht="15" customHeight="1" x14ac:dyDescent="0.3">
      <c r="A197" s="6">
        <v>195</v>
      </c>
      <c r="B197" s="6" t="s">
        <v>226</v>
      </c>
      <c r="C197" s="6" t="s">
        <v>38</v>
      </c>
      <c r="D197" s="6" t="s">
        <v>16</v>
      </c>
      <c r="E197" s="6" t="s">
        <v>13</v>
      </c>
      <c r="F197" s="6" t="s">
        <v>43</v>
      </c>
      <c r="G197" s="7">
        <v>4016.54</v>
      </c>
      <c r="H197" s="7">
        <v>715.57</v>
      </c>
      <c r="I197" s="6">
        <v>12</v>
      </c>
    </row>
    <row r="198" spans="1:9" ht="15" customHeight="1" x14ac:dyDescent="0.3">
      <c r="A198" s="8">
        <v>196</v>
      </c>
      <c r="B198" s="8" t="s">
        <v>227</v>
      </c>
      <c r="C198" s="8" t="s">
        <v>11</v>
      </c>
      <c r="D198" s="8" t="s">
        <v>20</v>
      </c>
      <c r="E198" s="8" t="s">
        <v>31</v>
      </c>
      <c r="F198" s="8" t="s">
        <v>32</v>
      </c>
      <c r="G198" s="9">
        <v>2206.6</v>
      </c>
      <c r="H198" s="9">
        <v>176.97</v>
      </c>
      <c r="I198" s="8">
        <v>3</v>
      </c>
    </row>
    <row r="199" spans="1:9" ht="15" customHeight="1" x14ac:dyDescent="0.3">
      <c r="A199" s="6">
        <v>197</v>
      </c>
      <c r="B199" s="6" t="s">
        <v>228</v>
      </c>
      <c r="C199" s="6" t="s">
        <v>38</v>
      </c>
      <c r="D199" s="6" t="s">
        <v>12</v>
      </c>
      <c r="E199" s="6" t="s">
        <v>31</v>
      </c>
      <c r="F199" s="6" t="s">
        <v>79</v>
      </c>
      <c r="G199" s="7">
        <v>1146.78</v>
      </c>
      <c r="H199" s="7">
        <v>287.39</v>
      </c>
      <c r="I199" s="6">
        <v>3</v>
      </c>
    </row>
    <row r="200" spans="1:9" ht="15" customHeight="1" x14ac:dyDescent="0.3">
      <c r="A200" s="8">
        <v>198</v>
      </c>
      <c r="B200" s="8" t="s">
        <v>229</v>
      </c>
      <c r="C200" s="8" t="s">
        <v>11</v>
      </c>
      <c r="D200" s="8" t="s">
        <v>12</v>
      </c>
      <c r="E200" s="8" t="s">
        <v>17</v>
      </c>
      <c r="F200" s="8" t="s">
        <v>35</v>
      </c>
      <c r="G200" s="9">
        <v>4534.32</v>
      </c>
      <c r="H200" s="9">
        <v>259.45</v>
      </c>
      <c r="I200" s="8">
        <v>5</v>
      </c>
    </row>
    <row r="201" spans="1:9" ht="15" customHeight="1" x14ac:dyDescent="0.3">
      <c r="A201" s="6">
        <v>199</v>
      </c>
      <c r="B201" s="6" t="s">
        <v>230</v>
      </c>
      <c r="C201" s="6" t="s">
        <v>23</v>
      </c>
      <c r="D201" s="6" t="s">
        <v>20</v>
      </c>
      <c r="E201" s="6" t="s">
        <v>13</v>
      </c>
      <c r="F201" s="6" t="s">
        <v>14</v>
      </c>
      <c r="G201" s="7">
        <v>1026.5</v>
      </c>
      <c r="H201" s="7">
        <v>175.61</v>
      </c>
      <c r="I201" s="6">
        <v>3</v>
      </c>
    </row>
    <row r="202" spans="1:9" ht="15" customHeight="1" x14ac:dyDescent="0.3">
      <c r="A202" s="8">
        <v>200</v>
      </c>
      <c r="B202" s="8" t="s">
        <v>231</v>
      </c>
      <c r="C202" s="8" t="s">
        <v>23</v>
      </c>
      <c r="D202" s="8" t="s">
        <v>16</v>
      </c>
      <c r="E202" s="8" t="s">
        <v>17</v>
      </c>
      <c r="F202" s="8" t="s">
        <v>21</v>
      </c>
      <c r="G202" s="9">
        <v>3784.51</v>
      </c>
      <c r="H202" s="9">
        <v>915.64</v>
      </c>
      <c r="I202" s="8">
        <v>15</v>
      </c>
    </row>
  </sheetData>
  <autoFilter ref="A2:I202" xr:uid="{00000000-0009-0000-0000-000000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selection sqref="A1:E1"/>
    </sheetView>
  </sheetViews>
  <sheetFormatPr defaultColWidth="8.6640625" defaultRowHeight="14.4" x14ac:dyDescent="0.3"/>
  <cols>
    <col min="1" max="5" width="18" customWidth="1"/>
  </cols>
  <sheetData>
    <row r="1" spans="1:5" ht="27.75" customHeight="1" x14ac:dyDescent="0.3">
      <c r="A1" s="3" t="s">
        <v>232</v>
      </c>
      <c r="B1" s="3"/>
      <c r="C1" s="3"/>
      <c r="D1" s="3"/>
      <c r="E1" s="3"/>
    </row>
    <row r="2" spans="1:5" ht="15" customHeight="1" x14ac:dyDescent="0.3">
      <c r="A2" s="2" t="s">
        <v>233</v>
      </c>
      <c r="B2" s="2"/>
      <c r="C2" s="2"/>
      <c r="D2" s="2"/>
      <c r="E2" s="2"/>
    </row>
    <row r="4" spans="1:5" ht="21.75" customHeight="1" x14ac:dyDescent="0.3">
      <c r="A4" s="5" t="s">
        <v>3</v>
      </c>
      <c r="B4" s="5" t="s">
        <v>13</v>
      </c>
      <c r="C4" s="5" t="s">
        <v>31</v>
      </c>
      <c r="D4" s="5" t="s">
        <v>17</v>
      </c>
      <c r="E4" s="5" t="s">
        <v>234</v>
      </c>
    </row>
    <row r="5" spans="1:5" ht="15" customHeight="1" x14ac:dyDescent="0.3">
      <c r="A5" s="10" t="s">
        <v>29</v>
      </c>
      <c r="B5" s="11">
        <v>34994.769999999997</v>
      </c>
      <c r="C5" s="11">
        <v>43667.24</v>
      </c>
      <c r="D5" s="11">
        <v>40900.04</v>
      </c>
      <c r="E5" s="12">
        <f>SUM(B5:D5)</f>
        <v>119562.04999999999</v>
      </c>
    </row>
    <row r="6" spans="1:5" ht="15" customHeight="1" x14ac:dyDescent="0.3">
      <c r="A6" s="10" t="s">
        <v>11</v>
      </c>
      <c r="B6" s="9">
        <v>52096.88</v>
      </c>
      <c r="C6" s="9">
        <v>42278.45</v>
      </c>
      <c r="D6" s="9">
        <v>44430.7</v>
      </c>
      <c r="E6" s="12">
        <f>SUM(B6:D6)</f>
        <v>138806.02999999997</v>
      </c>
    </row>
    <row r="7" spans="1:5" ht="15" customHeight="1" x14ac:dyDescent="0.3">
      <c r="A7" s="10" t="s">
        <v>38</v>
      </c>
      <c r="B7" s="11">
        <v>28018.71</v>
      </c>
      <c r="C7" s="11">
        <v>52392.02</v>
      </c>
      <c r="D7" s="11">
        <v>49247.22</v>
      </c>
      <c r="E7" s="12">
        <f>SUM(B7:D7)</f>
        <v>129657.95</v>
      </c>
    </row>
    <row r="8" spans="1:5" ht="15" customHeight="1" x14ac:dyDescent="0.3">
      <c r="A8" s="10" t="s">
        <v>23</v>
      </c>
      <c r="B8" s="9">
        <v>25734.89</v>
      </c>
      <c r="C8" s="9">
        <v>56160.54</v>
      </c>
      <c r="D8" s="9">
        <v>54898.74</v>
      </c>
      <c r="E8" s="12">
        <f>SUM(B8:D8)</f>
        <v>136794.16999999998</v>
      </c>
    </row>
    <row r="9" spans="1:5" ht="15" customHeight="1" x14ac:dyDescent="0.3">
      <c r="A9" s="13" t="s">
        <v>234</v>
      </c>
      <c r="B9" s="14">
        <f>SUM(B5:B8)</f>
        <v>140845.25</v>
      </c>
      <c r="C9" s="14">
        <f>SUM(C5:C8)</f>
        <v>194498.25</v>
      </c>
      <c r="D9" s="14">
        <f>SUM(D5:D8)</f>
        <v>189476.69999999998</v>
      </c>
      <c r="E9" s="14">
        <f>SUM(B9:D9)</f>
        <v>524820.19999999995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>
      <pane ySplit="1" topLeftCell="A2" activePane="bottomLeft" state="frozen"/>
      <selection pane="bottomLeft" sqref="A1:F1"/>
    </sheetView>
  </sheetViews>
  <sheetFormatPr defaultColWidth="8.6640625" defaultRowHeight="14.4" x14ac:dyDescent="0.3"/>
  <cols>
    <col min="1" max="2" width="22" customWidth="1"/>
    <col min="3" max="3" width="18" customWidth="1"/>
    <col min="4" max="4" width="22" customWidth="1"/>
    <col min="5" max="6" width="15" customWidth="1"/>
  </cols>
  <sheetData>
    <row r="1" spans="1:6" ht="27.75" customHeight="1" x14ac:dyDescent="0.3">
      <c r="A1" s="3" t="s">
        <v>235</v>
      </c>
      <c r="B1" s="3"/>
      <c r="C1" s="3"/>
      <c r="D1" s="3"/>
      <c r="E1" s="3"/>
      <c r="F1" s="3"/>
    </row>
    <row r="3" spans="1:6" ht="15" customHeight="1" x14ac:dyDescent="0.3">
      <c r="A3" s="1" t="s">
        <v>236</v>
      </c>
      <c r="B3" s="1"/>
      <c r="C3" s="1"/>
      <c r="D3" s="1"/>
      <c r="E3" s="1"/>
      <c r="F3" s="1"/>
    </row>
    <row r="5" spans="1:6" ht="15" customHeight="1" x14ac:dyDescent="0.3">
      <c r="A5" s="5" t="s">
        <v>3</v>
      </c>
      <c r="B5" s="5" t="s">
        <v>237</v>
      </c>
      <c r="C5" s="5" t="s">
        <v>238</v>
      </c>
      <c r="D5" s="5" t="s">
        <v>239</v>
      </c>
    </row>
    <row r="6" spans="1:6" ht="15" customHeight="1" x14ac:dyDescent="0.3">
      <c r="A6" s="10" t="s">
        <v>11</v>
      </c>
      <c r="B6" s="7">
        <f>SUMIF('📊 Raw Data'!C:C,A6,'📊 Raw Data'!G:G)</f>
        <v>138806.03000000003</v>
      </c>
      <c r="C6" s="6">
        <f>COUNTIF('📊 Raw Data'!C:C,A6)</f>
        <v>55</v>
      </c>
      <c r="D6" s="7">
        <f>IFERROR(B6/C6,0)</f>
        <v>2523.7460000000005</v>
      </c>
    </row>
    <row r="7" spans="1:6" ht="15" customHeight="1" x14ac:dyDescent="0.3">
      <c r="A7" s="10" t="s">
        <v>23</v>
      </c>
      <c r="B7" s="7">
        <f>SUMIF('📊 Raw Data'!C:C,A7,'📊 Raw Data'!G:G)</f>
        <v>136794.17000000001</v>
      </c>
      <c r="C7" s="6">
        <f>COUNTIF('📊 Raw Data'!C:C,A7)</f>
        <v>50</v>
      </c>
      <c r="D7" s="7">
        <f>IFERROR(B7/C7,0)</f>
        <v>2735.8834000000002</v>
      </c>
    </row>
    <row r="8" spans="1:6" ht="15" customHeight="1" x14ac:dyDescent="0.3">
      <c r="A8" s="10" t="s">
        <v>29</v>
      </c>
      <c r="B8" s="7">
        <f>SUMIF('📊 Raw Data'!C:C,A8,'📊 Raw Data'!G:G)</f>
        <v>119562.05</v>
      </c>
      <c r="C8" s="6">
        <f>COUNTIF('📊 Raw Data'!C:C,A8)</f>
        <v>50</v>
      </c>
      <c r="D8" s="7">
        <f>IFERROR(B8/C8,0)</f>
        <v>2391.241</v>
      </c>
    </row>
    <row r="9" spans="1:6" ht="15" customHeight="1" x14ac:dyDescent="0.3">
      <c r="A9" s="10" t="s">
        <v>38</v>
      </c>
      <c r="B9" s="7">
        <f>SUMIF('📊 Raw Data'!C:C,A9,'📊 Raw Data'!G:G)</f>
        <v>129657.95</v>
      </c>
      <c r="C9" s="6">
        <f>COUNTIF('📊 Raw Data'!C:C,A9)</f>
        <v>45</v>
      </c>
      <c r="D9" s="7">
        <f>IFERROR(B9/C9,0)</f>
        <v>2881.2877777777776</v>
      </c>
    </row>
    <row r="10" spans="1:6" ht="15" customHeight="1" x14ac:dyDescent="0.3">
      <c r="A10" s="1" t="s">
        <v>240</v>
      </c>
      <c r="B10" s="1"/>
      <c r="C10" s="1"/>
      <c r="D10" s="1"/>
      <c r="E10" s="1"/>
      <c r="F10" s="1"/>
    </row>
    <row r="12" spans="1:6" ht="15" customHeight="1" x14ac:dyDescent="0.3">
      <c r="A12" s="15" t="s">
        <v>5</v>
      </c>
      <c r="B12" s="15" t="s">
        <v>237</v>
      </c>
      <c r="C12" s="15" t="s">
        <v>238</v>
      </c>
      <c r="D12" s="15" t="s">
        <v>241</v>
      </c>
    </row>
    <row r="13" spans="1:6" ht="15" customHeight="1" x14ac:dyDescent="0.3">
      <c r="A13" s="16" t="s">
        <v>13</v>
      </c>
      <c r="B13" s="7">
        <f>SUMIF('📊 Raw Data'!E:E,A13,'📊 Raw Data'!G:G)</f>
        <v>140845.25000000003</v>
      </c>
      <c r="C13" s="6">
        <f>COUNTIF('📊 Raw Data'!E:E,A13)</f>
        <v>54</v>
      </c>
      <c r="D13" s="17">
        <f>IFERROR(B13/SUM(B13:B15),0)</f>
        <v>0.26836857651439494</v>
      </c>
    </row>
    <row r="14" spans="1:6" ht="15" customHeight="1" x14ac:dyDescent="0.3">
      <c r="A14" s="16" t="s">
        <v>31</v>
      </c>
      <c r="B14" s="7">
        <f>SUMIF('📊 Raw Data'!E:E,A14,'📊 Raw Data'!G:G)</f>
        <v>194498.25</v>
      </c>
      <c r="C14" s="6">
        <f>COUNTIF('📊 Raw Data'!E:E,A14)</f>
        <v>73</v>
      </c>
      <c r="D14" s="17">
        <f>IFERROR(B14/SUM(B13:B15),0)</f>
        <v>0.37059977874327249</v>
      </c>
    </row>
    <row r="15" spans="1:6" ht="15" customHeight="1" x14ac:dyDescent="0.3">
      <c r="A15" s="16" t="s">
        <v>17</v>
      </c>
      <c r="B15" s="7">
        <f>SUMIF('📊 Raw Data'!E:E,A15,'📊 Raw Data'!G:G)</f>
        <v>189476.7</v>
      </c>
      <c r="C15" s="6">
        <f>COUNTIF('📊 Raw Data'!E:E,A15)</f>
        <v>73</v>
      </c>
      <c r="D15" s="17">
        <f>IFERROR(B15/SUM(B13:B15),0)</f>
        <v>0.36103164474233274</v>
      </c>
    </row>
    <row r="18" spans="1:6" ht="15" customHeight="1" x14ac:dyDescent="0.3">
      <c r="A18" s="1" t="s">
        <v>242</v>
      </c>
      <c r="B18" s="1"/>
      <c r="C18" s="1"/>
      <c r="D18" s="1"/>
      <c r="E18" s="1"/>
      <c r="F18" s="1"/>
    </row>
    <row r="20" spans="1:6" ht="15" customHeight="1" x14ac:dyDescent="0.3">
      <c r="A20" s="5" t="s">
        <v>4</v>
      </c>
      <c r="B20" s="5" t="s">
        <v>237</v>
      </c>
      <c r="C20" s="5" t="s">
        <v>238</v>
      </c>
      <c r="D20" s="5" t="s">
        <v>243</v>
      </c>
    </row>
    <row r="21" spans="1:6" ht="15" customHeight="1" x14ac:dyDescent="0.3">
      <c r="A21" s="10" t="s">
        <v>20</v>
      </c>
      <c r="B21" s="7">
        <f>SUMIF('📊 Raw Data'!D:D,A21,'📊 Raw Data'!G:G)</f>
        <v>195518.82</v>
      </c>
      <c r="C21" s="6">
        <f>COUNTIF('📊 Raw Data'!D:D,A21)</f>
        <v>76</v>
      </c>
      <c r="D21" s="7">
        <f>IFERROR(SUMIF('📊 Raw Data'!D:D,A21,'📊 Raw Data'!H:H)/C21,0)</f>
        <v>345.34131578947375</v>
      </c>
    </row>
    <row r="22" spans="1:6" ht="15" customHeight="1" x14ac:dyDescent="0.3">
      <c r="A22" s="10" t="s">
        <v>16</v>
      </c>
      <c r="B22" s="7">
        <f>SUMIF('📊 Raw Data'!D:D,A22,'📊 Raw Data'!G:G)</f>
        <v>170675.75000000006</v>
      </c>
      <c r="C22" s="6">
        <f>COUNTIF('📊 Raw Data'!D:D,A22)</f>
        <v>62</v>
      </c>
      <c r="D22" s="7">
        <f>IFERROR(SUMIF('📊 Raw Data'!D:D,A22,'📊 Raw Data'!H:H)/C22,0)</f>
        <v>359.11435483870957</v>
      </c>
    </row>
    <row r="23" spans="1:6" ht="15" customHeight="1" x14ac:dyDescent="0.3">
      <c r="A23" s="10" t="s">
        <v>12</v>
      </c>
      <c r="B23" s="7">
        <f>SUMIF('📊 Raw Data'!D:D,A23,'📊 Raw Data'!G:G)</f>
        <v>158625.63000000006</v>
      </c>
      <c r="C23" s="6">
        <f>COUNTIF('📊 Raw Data'!D:D,A23)</f>
        <v>62</v>
      </c>
      <c r="D23" s="7">
        <f>IFERROR(SUMIF('📊 Raw Data'!D:D,A23,'📊 Raw Data'!H:H)/C23,0)</f>
        <v>299.41096774193545</v>
      </c>
    </row>
  </sheetData>
  <mergeCells count="4">
    <mergeCell ref="A1:F1"/>
    <mergeCell ref="A3:F3"/>
    <mergeCell ref="A10:F10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Raw Data</vt:lpstr>
      <vt:lpstr>📋 Pivot – Sales Summary</vt:lpstr>
      <vt:lpstr>🔢 SUMIF &amp; COUNTIF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jyothi palagiri</cp:lastModifiedBy>
  <cp:revision>0</cp:revision>
  <dcterms:created xsi:type="dcterms:W3CDTF">2026-06-29T03:56:55Z</dcterms:created>
  <dcterms:modified xsi:type="dcterms:W3CDTF">2026-06-29T04:02:19Z</dcterms:modified>
  <dc:language>en-US</dc:language>
</cp:coreProperties>
</file>